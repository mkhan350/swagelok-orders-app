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onceptgroupllccom-my.sharepoint.com/personal/mstkhan_conceptgroupllc_com/Documents/"/>
    </mc:Choice>
  </mc:AlternateContent>
  <xr:revisionPtr revIDLastSave="224" documentId="13_ncr:1_{5A49DB7C-CC28-4D02-B91E-E2896A7F9E9E}" xr6:coauthVersionLast="47" xr6:coauthVersionMax="47" xr10:uidLastSave="{C2311353-D864-4D3A-9AC4-5B09470860CF}"/>
  <bookViews>
    <workbookView xWindow="28680" yWindow="-120" windowWidth="29040" windowHeight="15720" xr2:uid="{FB86B4A4-7E7F-4573-A7A1-584FD042362B}"/>
  </bookViews>
  <sheets>
    <sheet name="Sheet1" sheetId="1" r:id="rId1"/>
    <sheet name="graph data OP" sheetId="10" state="hidden" r:id="rId2"/>
    <sheet name="passfailcurves" sheetId="11" state="hidden" r:id="rId3"/>
    <sheet name="yieldanalysisdata" sheetId="12" state="hidden" r:id="rId4"/>
    <sheet name="graph data" sheetId="9" state="hidden" r:id="rId5"/>
    <sheet name="shipping" sheetId="13" state="hidden" r:id="rId6"/>
    <sheet name="Revision History" sheetId="6" r:id="rId7"/>
    <sheet name="Pricing" sheetId="7" state="hidden" r:id="rId8"/>
    <sheet name="Sheet3" sheetId="4" state="hidden" r:id="rId9"/>
    <sheet name="Sheet2" sheetId="3" state="hidden" r:id="rId10"/>
    <sheet name="Sheet4" sheetId="5" state="hidden" r:id="rId11"/>
    <sheet name="Data Validation" sheetId="2" state="hidden" r:id="rId12"/>
  </sheets>
  <functionGroups builtInGroupCount="19"/>
  <definedNames>
    <definedName name="_xlnm.Print_Area" localSheetId="0">Sheet1!$I$6:$M$45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30" i="2" l="1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A326" i="4"/>
  <c r="A309" i="4" l="1"/>
  <c r="A292" i="4"/>
  <c r="A275" i="4"/>
  <c r="A258" i="4"/>
  <c r="A241" i="4"/>
  <c r="A223" i="4"/>
  <c r="A206" i="4"/>
  <c r="A189" i="4"/>
  <c r="A172" i="4"/>
  <c r="A155" i="4"/>
  <c r="A138" i="4"/>
  <c r="A121" i="4"/>
  <c r="A104" i="4"/>
  <c r="A87" i="4"/>
  <c r="A70" i="4"/>
  <c r="A53" i="4"/>
  <c r="A36" i="4"/>
  <c r="A19" i="4"/>
  <c r="A2" i="4"/>
  <c r="A44" i="2"/>
  <c r="A38" i="2"/>
  <c r="A31" i="2"/>
  <c r="A25" i="2"/>
  <c r="L19" i="7" l="1"/>
  <c r="K19" i="7"/>
  <c r="J19" i="7"/>
  <c r="I19" i="7"/>
  <c r="H19" i="7"/>
  <c r="G19" i="7"/>
  <c r="F19" i="7"/>
  <c r="E19" i="7"/>
  <c r="D19" i="7"/>
  <c r="C19" i="7"/>
  <c r="L18" i="7"/>
  <c r="K18" i="7"/>
  <c r="J18" i="7"/>
  <c r="I18" i="7"/>
  <c r="H18" i="7"/>
  <c r="G18" i="7"/>
  <c r="F18" i="7"/>
  <c r="E18" i="7"/>
  <c r="D18" i="7"/>
  <c r="C18" i="7"/>
  <c r="L17" i="7"/>
  <c r="K17" i="7"/>
  <c r="J17" i="7"/>
  <c r="I17" i="7"/>
  <c r="H17" i="7"/>
  <c r="G17" i="7"/>
  <c r="F17" i="7"/>
  <c r="E17" i="7"/>
  <c r="D17" i="7"/>
  <c r="C17" i="7"/>
  <c r="L16" i="7"/>
  <c r="K16" i="7"/>
  <c r="J16" i="7"/>
  <c r="I16" i="7"/>
  <c r="H16" i="7"/>
  <c r="G16" i="7"/>
  <c r="F16" i="7"/>
  <c r="E16" i="7"/>
  <c r="D16" i="7"/>
  <c r="C16" i="7"/>
  <c r="L15" i="7"/>
  <c r="K15" i="7"/>
  <c r="J15" i="7"/>
  <c r="I15" i="7"/>
  <c r="H15" i="7"/>
  <c r="G15" i="7"/>
  <c r="F15" i="7"/>
  <c r="E15" i="7"/>
  <c r="D15" i="7"/>
  <c r="C15" i="7"/>
  <c r="L14" i="7"/>
  <c r="K14" i="7"/>
  <c r="J14" i="7"/>
  <c r="I14" i="7"/>
  <c r="H14" i="7"/>
  <c r="G14" i="7"/>
  <c r="F14" i="7"/>
  <c r="E14" i="7"/>
  <c r="D14" i="7"/>
  <c r="C14" i="7"/>
  <c r="L13" i="7"/>
  <c r="K13" i="7"/>
  <c r="J13" i="7"/>
  <c r="I13" i="7"/>
  <c r="H13" i="7"/>
  <c r="G13" i="7"/>
  <c r="F13" i="7"/>
  <c r="E13" i="7"/>
  <c r="D13" i="7"/>
  <c r="C13" i="7"/>
  <c r="L12" i="7"/>
  <c r="K12" i="7"/>
  <c r="J12" i="7"/>
  <c r="I12" i="7"/>
  <c r="H12" i="7"/>
  <c r="G12" i="7"/>
  <c r="F12" i="7"/>
  <c r="E12" i="7"/>
  <c r="D12" i="7"/>
  <c r="C12" i="7"/>
  <c r="L11" i="7"/>
  <c r="K11" i="7"/>
  <c r="J11" i="7"/>
  <c r="I11" i="7"/>
  <c r="H11" i="7"/>
  <c r="G11" i="7"/>
  <c r="F11" i="7"/>
  <c r="E11" i="7"/>
  <c r="D11" i="7"/>
  <c r="C11" i="7"/>
  <c r="L10" i="7"/>
  <c r="K10" i="7"/>
  <c r="J10" i="7"/>
  <c r="I10" i="7"/>
  <c r="H10" i="7"/>
  <c r="G10" i="7"/>
  <c r="F10" i="7"/>
  <c r="E10" i="7"/>
  <c r="D10" i="7"/>
  <c r="C10" i="7"/>
  <c r="L9" i="7"/>
  <c r="K9" i="7"/>
  <c r="J9" i="7"/>
  <c r="I9" i="7"/>
  <c r="H9" i="7"/>
  <c r="G9" i="7"/>
  <c r="F9" i="7"/>
  <c r="E9" i="7"/>
  <c r="D9" i="7"/>
  <c r="C9" i="7"/>
  <c r="L8" i="7"/>
  <c r="K8" i="7"/>
  <c r="J8" i="7"/>
  <c r="I8" i="7"/>
  <c r="H8" i="7"/>
  <c r="G8" i="7"/>
  <c r="F8" i="7"/>
  <c r="E8" i="7"/>
  <c r="D8" i="7"/>
  <c r="C8" i="7"/>
  <c r="L4" i="7"/>
  <c r="K4" i="7"/>
  <c r="J4" i="7"/>
  <c r="I4" i="7"/>
  <c r="H4" i="7"/>
  <c r="G4" i="7"/>
  <c r="F4" i="7"/>
  <c r="E4" i="7"/>
  <c r="D4" i="7"/>
  <c r="C4" i="7"/>
  <c r="C48" i="2" l="1"/>
  <c r="C41" i="2"/>
  <c r="C35" i="2"/>
  <c r="C28" i="2"/>
  <c r="C47" i="2"/>
  <c r="C46" i="2"/>
  <c r="C45" i="2"/>
  <c r="C40" i="2"/>
  <c r="C39" i="2"/>
  <c r="C34" i="2"/>
  <c r="C33" i="2"/>
  <c r="C32" i="2"/>
  <c r="C27" i="2"/>
  <c r="C26" i="2"/>
  <c r="A2" i="5"/>
  <c r="A292" i="5"/>
  <c r="A275" i="5"/>
  <c r="A258" i="5"/>
  <c r="A241" i="5"/>
  <c r="A223" i="5"/>
  <c r="A206" i="5"/>
  <c r="A189" i="5"/>
  <c r="A172" i="5"/>
  <c r="A155" i="5"/>
  <c r="A138" i="5"/>
  <c r="A121" i="5"/>
  <c r="A104" i="5"/>
  <c r="A87" i="5"/>
  <c r="A70" i="5"/>
  <c r="A53" i="5"/>
  <c r="A36" i="5"/>
  <c r="A19" i="5"/>
  <c r="H6" i="1"/>
  <c r="H4" i="1"/>
  <c r="A2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G19" i="3"/>
  <c r="G1101" i="3"/>
  <c r="G1100" i="3"/>
  <c r="G1099" i="3"/>
  <c r="G1098" i="3"/>
  <c r="G1097" i="3"/>
  <c r="G1096" i="3"/>
  <c r="G1095" i="3"/>
  <c r="G1094" i="3"/>
  <c r="G1093" i="3"/>
  <c r="G1092" i="3"/>
  <c r="G1091" i="3"/>
  <c r="G1090" i="3"/>
  <c r="G1089" i="3"/>
  <c r="G1088" i="3"/>
  <c r="G1087" i="3"/>
  <c r="G1086" i="3"/>
  <c r="G1085" i="3"/>
  <c r="G1084" i="3"/>
  <c r="G1083" i="3"/>
  <c r="G1082" i="3"/>
  <c r="G1081" i="3"/>
  <c r="G1080" i="3"/>
  <c r="G1079" i="3"/>
  <c r="G1078" i="3"/>
  <c r="G1077" i="3"/>
  <c r="G1076" i="3"/>
  <c r="G1075" i="3"/>
  <c r="G1074" i="3"/>
  <c r="G1073" i="3"/>
  <c r="G1072" i="3"/>
  <c r="G1071" i="3"/>
  <c r="G1070" i="3"/>
  <c r="G1069" i="3"/>
  <c r="G1068" i="3"/>
  <c r="G1067" i="3"/>
  <c r="G1066" i="3"/>
  <c r="G1065" i="3"/>
  <c r="G1064" i="3"/>
  <c r="G1063" i="3"/>
  <c r="G1062" i="3"/>
  <c r="G1061" i="3"/>
  <c r="G1060" i="3"/>
  <c r="G1059" i="3"/>
  <c r="G1058" i="3"/>
  <c r="G1057" i="3"/>
  <c r="G1056" i="3"/>
  <c r="G1055" i="3"/>
  <c r="G1054" i="3"/>
  <c r="G1053" i="3"/>
  <c r="G1052" i="3"/>
  <c r="G1051" i="3"/>
  <c r="G1050" i="3"/>
  <c r="G1049" i="3"/>
  <c r="G1048" i="3"/>
  <c r="G1047" i="3"/>
  <c r="G1046" i="3"/>
  <c r="G1045" i="3"/>
  <c r="G1044" i="3"/>
  <c r="G1043" i="3"/>
  <c r="G1042" i="3"/>
  <c r="G1041" i="3"/>
  <c r="G1040" i="3"/>
  <c r="G1039" i="3"/>
  <c r="G1038" i="3"/>
  <c r="G1037" i="3"/>
  <c r="G1036" i="3"/>
  <c r="G1035" i="3"/>
  <c r="G1034" i="3"/>
  <c r="G1033" i="3"/>
  <c r="G1032" i="3"/>
  <c r="G1031" i="3"/>
  <c r="G1030" i="3"/>
  <c r="G1029" i="3"/>
  <c r="G1028" i="3"/>
  <c r="G1027" i="3"/>
  <c r="G1026" i="3"/>
  <c r="G1025" i="3"/>
  <c r="G1024" i="3"/>
  <c r="G1023" i="3"/>
  <c r="G1022" i="3"/>
  <c r="G1021" i="3"/>
  <c r="G1020" i="3"/>
  <c r="G1019" i="3"/>
  <c r="G1018" i="3"/>
  <c r="G1017" i="3"/>
  <c r="G1016" i="3"/>
  <c r="G1015" i="3"/>
  <c r="G1014" i="3"/>
  <c r="G1013" i="3"/>
  <c r="G1012" i="3"/>
  <c r="G1011" i="3"/>
  <c r="G1010" i="3"/>
  <c r="G1009" i="3"/>
  <c r="G1008" i="3"/>
  <c r="G1007" i="3"/>
  <c r="G1006" i="3"/>
  <c r="G1005" i="3"/>
  <c r="G1004" i="3"/>
  <c r="G1003" i="3"/>
  <c r="G1002" i="3"/>
  <c r="G1001" i="3"/>
  <c r="G1000" i="3"/>
  <c r="G999" i="3"/>
  <c r="G998" i="3"/>
  <c r="G997" i="3"/>
  <c r="G996" i="3"/>
  <c r="G995" i="3"/>
  <c r="G994" i="3"/>
  <c r="G993" i="3"/>
  <c r="G992" i="3"/>
  <c r="G991" i="3"/>
  <c r="G990" i="3"/>
  <c r="G989" i="3"/>
  <c r="G988" i="3"/>
  <c r="G987" i="3"/>
  <c r="G986" i="3"/>
  <c r="G985" i="3"/>
  <c r="G984" i="3"/>
  <c r="G983" i="3"/>
  <c r="G982" i="3"/>
  <c r="G981" i="3"/>
  <c r="G980" i="3"/>
  <c r="G979" i="3"/>
  <c r="G978" i="3"/>
  <c r="G977" i="3"/>
  <c r="G976" i="3"/>
  <c r="G975" i="3"/>
  <c r="G974" i="3"/>
  <c r="G973" i="3"/>
  <c r="G972" i="3"/>
  <c r="G971" i="3"/>
  <c r="G970" i="3"/>
  <c r="G969" i="3"/>
  <c r="G968" i="3"/>
  <c r="G967" i="3"/>
  <c r="G966" i="3"/>
  <c r="G965" i="3"/>
  <c r="G964" i="3"/>
  <c r="G963" i="3"/>
  <c r="G962" i="3"/>
  <c r="G961" i="3"/>
  <c r="G960" i="3"/>
  <c r="G959" i="3"/>
  <c r="G958" i="3"/>
  <c r="G957" i="3"/>
  <c r="G956" i="3"/>
  <c r="G955" i="3"/>
  <c r="G954" i="3"/>
  <c r="G953" i="3"/>
  <c r="G952" i="3"/>
  <c r="G951" i="3"/>
  <c r="G950" i="3"/>
  <c r="G949" i="3"/>
  <c r="G948" i="3"/>
  <c r="G947" i="3"/>
  <c r="G946" i="3"/>
  <c r="G945" i="3"/>
  <c r="G944" i="3"/>
  <c r="G943" i="3"/>
  <c r="G942" i="3"/>
  <c r="G941" i="3"/>
  <c r="G940" i="3"/>
  <c r="G939" i="3"/>
  <c r="G938" i="3"/>
  <c r="G937" i="3"/>
  <c r="G936" i="3"/>
  <c r="G935" i="3"/>
  <c r="G934" i="3"/>
  <c r="G933" i="3"/>
  <c r="G932" i="3"/>
  <c r="G931" i="3"/>
  <c r="G930" i="3"/>
  <c r="G929" i="3"/>
  <c r="G928" i="3"/>
  <c r="G927" i="3"/>
  <c r="G926" i="3"/>
  <c r="G925" i="3"/>
  <c r="G924" i="3"/>
  <c r="G923" i="3"/>
  <c r="G922" i="3"/>
  <c r="G921" i="3"/>
  <c r="G920" i="3"/>
  <c r="G919" i="3"/>
  <c r="G918" i="3"/>
  <c r="G917" i="3"/>
  <c r="G916" i="3"/>
  <c r="G915" i="3"/>
  <c r="G914" i="3"/>
  <c r="G913" i="3"/>
  <c r="G912" i="3"/>
  <c r="G911" i="3"/>
  <c r="G910" i="3"/>
  <c r="G909" i="3"/>
  <c r="G908" i="3"/>
  <c r="G907" i="3"/>
  <c r="G906" i="3"/>
  <c r="G905" i="3"/>
  <c r="G904" i="3"/>
  <c r="G903" i="3"/>
  <c r="G902" i="3"/>
  <c r="G901" i="3"/>
  <c r="G900" i="3"/>
  <c r="G899" i="3"/>
  <c r="G898" i="3"/>
  <c r="G897" i="3"/>
  <c r="G896" i="3"/>
  <c r="G895" i="3"/>
  <c r="G894" i="3"/>
  <c r="G893" i="3"/>
  <c r="G892" i="3"/>
  <c r="G891" i="3"/>
  <c r="G890" i="3"/>
  <c r="G889" i="3"/>
  <c r="G888" i="3"/>
  <c r="G887" i="3"/>
  <c r="G886" i="3"/>
  <c r="G885" i="3"/>
  <c r="G884" i="3"/>
  <c r="G883" i="3"/>
  <c r="G882" i="3"/>
  <c r="G881" i="3"/>
  <c r="G880" i="3"/>
  <c r="G879" i="3"/>
  <c r="G878" i="3"/>
  <c r="G877" i="3"/>
  <c r="G876" i="3"/>
  <c r="G875" i="3"/>
  <c r="G874" i="3"/>
  <c r="G873" i="3"/>
  <c r="G872" i="3"/>
  <c r="G871" i="3"/>
  <c r="G870" i="3"/>
  <c r="G869" i="3"/>
  <c r="G868" i="3"/>
  <c r="G867" i="3"/>
  <c r="G866" i="3"/>
  <c r="G865" i="3"/>
  <c r="G864" i="3"/>
  <c r="G863" i="3"/>
  <c r="G862" i="3"/>
  <c r="G861" i="3"/>
  <c r="G860" i="3"/>
  <c r="G859" i="3"/>
  <c r="G858" i="3"/>
  <c r="G857" i="3"/>
  <c r="G856" i="3"/>
  <c r="G855" i="3"/>
  <c r="G854" i="3"/>
  <c r="G853" i="3"/>
  <c r="G852" i="3"/>
  <c r="G851" i="3"/>
  <c r="G850" i="3"/>
  <c r="G849" i="3"/>
  <c r="G848" i="3"/>
  <c r="G847" i="3"/>
  <c r="G846" i="3"/>
  <c r="G845" i="3"/>
  <c r="G844" i="3"/>
  <c r="G843" i="3"/>
  <c r="G842" i="3"/>
  <c r="G841" i="3"/>
  <c r="G840" i="3"/>
  <c r="G839" i="3"/>
  <c r="G838" i="3"/>
  <c r="G837" i="3"/>
  <c r="G836" i="3"/>
  <c r="G835" i="3"/>
  <c r="G834" i="3"/>
  <c r="G833" i="3"/>
  <c r="G832" i="3"/>
  <c r="G831" i="3"/>
  <c r="G830" i="3"/>
  <c r="G829" i="3"/>
  <c r="G828" i="3"/>
  <c r="G827" i="3"/>
  <c r="G826" i="3"/>
  <c r="G825" i="3"/>
  <c r="G824" i="3"/>
  <c r="G823" i="3"/>
  <c r="G822" i="3"/>
  <c r="G821" i="3"/>
  <c r="G820" i="3"/>
  <c r="G819" i="3"/>
  <c r="G818" i="3"/>
  <c r="G817" i="3"/>
  <c r="G816" i="3"/>
  <c r="G815" i="3"/>
  <c r="G814" i="3"/>
  <c r="G813" i="3"/>
  <c r="G812" i="3"/>
  <c r="G811" i="3"/>
  <c r="G810" i="3"/>
  <c r="G809" i="3"/>
  <c r="G808" i="3"/>
  <c r="G807" i="3"/>
  <c r="G806" i="3"/>
  <c r="G805" i="3"/>
  <c r="G804" i="3"/>
  <c r="G803" i="3"/>
  <c r="G802" i="3"/>
  <c r="G801" i="3"/>
  <c r="G800" i="3"/>
  <c r="G799" i="3"/>
  <c r="G798" i="3"/>
  <c r="G797" i="3"/>
  <c r="G796" i="3"/>
  <c r="G795" i="3"/>
  <c r="G794" i="3"/>
  <c r="G793" i="3"/>
  <c r="G792" i="3"/>
  <c r="G791" i="3"/>
  <c r="G790" i="3"/>
  <c r="G789" i="3"/>
  <c r="G788" i="3"/>
  <c r="G787" i="3"/>
  <c r="G786" i="3"/>
  <c r="G785" i="3"/>
  <c r="G784" i="3"/>
  <c r="G783" i="3"/>
  <c r="G782" i="3"/>
  <c r="G781" i="3"/>
  <c r="G780" i="3"/>
  <c r="G779" i="3"/>
  <c r="G778" i="3"/>
  <c r="G777" i="3"/>
  <c r="G776" i="3"/>
  <c r="G775" i="3"/>
  <c r="G774" i="3"/>
  <c r="G773" i="3"/>
  <c r="G772" i="3"/>
  <c r="G771" i="3"/>
  <c r="G770" i="3"/>
  <c r="G769" i="3"/>
  <c r="G768" i="3"/>
  <c r="G767" i="3"/>
  <c r="G766" i="3"/>
  <c r="G765" i="3"/>
  <c r="G764" i="3"/>
  <c r="G763" i="3"/>
  <c r="G762" i="3"/>
  <c r="G761" i="3"/>
  <c r="G760" i="3"/>
  <c r="G759" i="3"/>
  <c r="G758" i="3"/>
  <c r="G757" i="3"/>
  <c r="G756" i="3"/>
  <c r="G755" i="3"/>
  <c r="G754" i="3"/>
  <c r="G753" i="3"/>
  <c r="G752" i="3"/>
  <c r="G751" i="3"/>
  <c r="G750" i="3"/>
  <c r="G749" i="3"/>
  <c r="G748" i="3"/>
  <c r="G747" i="3"/>
  <c r="G746" i="3"/>
  <c r="G745" i="3"/>
  <c r="G744" i="3"/>
  <c r="G743" i="3"/>
  <c r="G742" i="3"/>
  <c r="G741" i="3"/>
  <c r="G740" i="3"/>
  <c r="G739" i="3"/>
  <c r="G738" i="3"/>
  <c r="G737" i="3"/>
  <c r="G736" i="3"/>
  <c r="G735" i="3"/>
  <c r="G734" i="3"/>
  <c r="G733" i="3"/>
  <c r="G732" i="3"/>
  <c r="G731" i="3"/>
  <c r="G730" i="3"/>
  <c r="G729" i="3"/>
  <c r="G728" i="3"/>
  <c r="G727" i="3"/>
  <c r="G726" i="3"/>
  <c r="G725" i="3"/>
  <c r="G724" i="3"/>
  <c r="G723" i="3"/>
  <c r="G722" i="3"/>
  <c r="G721" i="3"/>
  <c r="G720" i="3"/>
  <c r="G719" i="3"/>
  <c r="G718" i="3"/>
  <c r="G717" i="3"/>
  <c r="G716" i="3"/>
  <c r="G715" i="3"/>
  <c r="G714" i="3"/>
  <c r="G713" i="3"/>
  <c r="G712" i="3"/>
  <c r="G711" i="3"/>
  <c r="G710" i="3"/>
  <c r="G709" i="3"/>
  <c r="G708" i="3"/>
  <c r="G707" i="3"/>
  <c r="G706" i="3"/>
  <c r="G705" i="3"/>
  <c r="G704" i="3"/>
  <c r="G703" i="3"/>
  <c r="G702" i="3"/>
  <c r="G701" i="3"/>
  <c r="G700" i="3"/>
  <c r="G699" i="3"/>
  <c r="G698" i="3"/>
  <c r="G697" i="3"/>
  <c r="G696" i="3"/>
  <c r="G695" i="3"/>
  <c r="G694" i="3"/>
  <c r="G693" i="3"/>
  <c r="G692" i="3"/>
  <c r="G691" i="3"/>
  <c r="G690" i="3"/>
  <c r="G689" i="3"/>
  <c r="G688" i="3"/>
  <c r="G687" i="3"/>
  <c r="G686" i="3"/>
  <c r="G685" i="3"/>
  <c r="G684" i="3"/>
  <c r="G683" i="3"/>
  <c r="G682" i="3"/>
  <c r="G681" i="3"/>
  <c r="G680" i="3"/>
  <c r="G679" i="3"/>
  <c r="G678" i="3"/>
  <c r="G677" i="3"/>
  <c r="G676" i="3"/>
  <c r="G675" i="3"/>
  <c r="G674" i="3"/>
  <c r="G673" i="3"/>
  <c r="G672" i="3"/>
  <c r="G671" i="3"/>
  <c r="G670" i="3"/>
  <c r="G669" i="3"/>
  <c r="G668" i="3"/>
  <c r="G667" i="3"/>
  <c r="G666" i="3"/>
  <c r="G665" i="3"/>
  <c r="G664" i="3"/>
  <c r="G663" i="3"/>
  <c r="G662" i="3"/>
  <c r="G661" i="3"/>
  <c r="G660" i="3"/>
  <c r="G659" i="3"/>
  <c r="G658" i="3"/>
  <c r="G657" i="3"/>
  <c r="G656" i="3"/>
  <c r="G655" i="3"/>
  <c r="G654" i="3"/>
  <c r="G653" i="3"/>
  <c r="G652" i="3"/>
  <c r="G651" i="3"/>
  <c r="G650" i="3"/>
  <c r="G649" i="3"/>
  <c r="G648" i="3"/>
  <c r="G647" i="3"/>
  <c r="G646" i="3"/>
  <c r="G645" i="3"/>
  <c r="G644" i="3"/>
  <c r="G643" i="3"/>
  <c r="G642" i="3"/>
  <c r="G641" i="3"/>
  <c r="G640" i="3"/>
  <c r="G639" i="3"/>
  <c r="G638" i="3"/>
  <c r="G637" i="3"/>
  <c r="G636" i="3"/>
  <c r="G635" i="3"/>
  <c r="G634" i="3"/>
  <c r="G633" i="3"/>
  <c r="G632" i="3"/>
  <c r="G631" i="3"/>
  <c r="G630" i="3"/>
  <c r="G629" i="3"/>
  <c r="G628" i="3"/>
  <c r="G627" i="3"/>
  <c r="G626" i="3"/>
  <c r="G625" i="3"/>
  <c r="G624" i="3"/>
  <c r="G623" i="3"/>
  <c r="G622" i="3"/>
  <c r="G621" i="3"/>
  <c r="G620" i="3"/>
  <c r="G619" i="3"/>
  <c r="G618" i="3"/>
  <c r="G617" i="3"/>
  <c r="G616" i="3"/>
  <c r="G615" i="3"/>
  <c r="G614" i="3"/>
  <c r="G613" i="3"/>
  <c r="G612" i="3"/>
  <c r="G611" i="3"/>
  <c r="G610" i="3"/>
  <c r="G609" i="3"/>
  <c r="G608" i="3"/>
  <c r="G607" i="3"/>
  <c r="G606" i="3"/>
  <c r="G605" i="3"/>
  <c r="G604" i="3"/>
  <c r="G603" i="3"/>
  <c r="G602" i="3"/>
  <c r="G601" i="3"/>
  <c r="G600" i="3"/>
  <c r="G599" i="3"/>
  <c r="G598" i="3"/>
  <c r="G597" i="3"/>
  <c r="G596" i="3"/>
  <c r="G595" i="3"/>
  <c r="G594" i="3"/>
  <c r="G593" i="3"/>
  <c r="G592" i="3"/>
  <c r="G591" i="3"/>
  <c r="G590" i="3"/>
  <c r="G589" i="3"/>
  <c r="G588" i="3"/>
  <c r="G587" i="3"/>
  <c r="G586" i="3"/>
  <c r="G585" i="3"/>
  <c r="G584" i="3"/>
  <c r="G583" i="3"/>
  <c r="G582" i="3"/>
  <c r="G581" i="3"/>
  <c r="G580" i="3"/>
  <c r="G579" i="3"/>
  <c r="G578" i="3"/>
  <c r="G577" i="3"/>
  <c r="G576" i="3"/>
  <c r="G575" i="3"/>
  <c r="G574" i="3"/>
  <c r="G573" i="3"/>
  <c r="G572" i="3"/>
  <c r="G571" i="3"/>
  <c r="G570" i="3"/>
  <c r="G569" i="3"/>
  <c r="G568" i="3"/>
  <c r="G567" i="3"/>
  <c r="G566" i="3"/>
  <c r="G565" i="3"/>
  <c r="G564" i="3"/>
  <c r="G563" i="3"/>
  <c r="G562" i="3"/>
  <c r="G561" i="3"/>
  <c r="G560" i="3"/>
  <c r="G559" i="3"/>
  <c r="G558" i="3"/>
  <c r="G557" i="3"/>
  <c r="G556" i="3"/>
  <c r="G555" i="3"/>
  <c r="G554" i="3"/>
  <c r="G553" i="3"/>
  <c r="G552" i="3"/>
  <c r="G551" i="3"/>
  <c r="G550" i="3"/>
  <c r="G549" i="3"/>
  <c r="G548" i="3"/>
  <c r="G547" i="3"/>
  <c r="G546" i="3"/>
  <c r="G545" i="3"/>
  <c r="G544" i="3"/>
  <c r="G543" i="3"/>
  <c r="G542" i="3"/>
  <c r="G541" i="3"/>
  <c r="G540" i="3"/>
  <c r="G539" i="3"/>
  <c r="G538" i="3"/>
  <c r="G537" i="3"/>
  <c r="G536" i="3"/>
  <c r="G535" i="3"/>
  <c r="G534" i="3"/>
  <c r="G533" i="3"/>
  <c r="G532" i="3"/>
  <c r="G531" i="3"/>
  <c r="G530" i="3"/>
  <c r="G529" i="3"/>
  <c r="G528" i="3"/>
  <c r="G527" i="3"/>
  <c r="G526" i="3"/>
  <c r="G525" i="3"/>
  <c r="G524" i="3"/>
  <c r="G523" i="3"/>
  <c r="G522" i="3"/>
  <c r="G521" i="3"/>
  <c r="G520" i="3"/>
  <c r="G519" i="3"/>
  <c r="G518" i="3"/>
  <c r="G517" i="3"/>
  <c r="G516" i="3"/>
  <c r="G515" i="3"/>
  <c r="G514" i="3"/>
  <c r="G513" i="3"/>
  <c r="G512" i="3"/>
  <c r="G511" i="3"/>
  <c r="G510" i="3"/>
  <c r="G509" i="3"/>
  <c r="G508" i="3"/>
  <c r="G507" i="3"/>
  <c r="G506" i="3"/>
  <c r="G505" i="3"/>
  <c r="G504" i="3"/>
  <c r="G503" i="3"/>
  <c r="G502" i="3"/>
  <c r="G501" i="3"/>
  <c r="G500" i="3"/>
  <c r="G499" i="3"/>
  <c r="G498" i="3"/>
  <c r="G497" i="3"/>
  <c r="G496" i="3"/>
  <c r="G495" i="3"/>
  <c r="G494" i="3"/>
  <c r="G493" i="3"/>
  <c r="G492" i="3"/>
  <c r="G491" i="3"/>
  <c r="G490" i="3"/>
  <c r="G489" i="3"/>
  <c r="G488" i="3"/>
  <c r="G487" i="3"/>
  <c r="G486" i="3"/>
  <c r="G485" i="3"/>
  <c r="G484" i="3"/>
  <c r="G483" i="3"/>
  <c r="G482" i="3"/>
  <c r="G481" i="3"/>
  <c r="G480" i="3"/>
  <c r="G479" i="3"/>
  <c r="G478" i="3"/>
  <c r="G477" i="3"/>
  <c r="G476" i="3"/>
  <c r="G475" i="3"/>
  <c r="G474" i="3"/>
  <c r="G473" i="3"/>
  <c r="G472" i="3"/>
  <c r="G471" i="3"/>
  <c r="G470" i="3"/>
  <c r="G469" i="3"/>
  <c r="G468" i="3"/>
  <c r="G467" i="3"/>
  <c r="G466" i="3"/>
  <c r="G465" i="3"/>
  <c r="G464" i="3"/>
  <c r="G463" i="3"/>
  <c r="G462" i="3"/>
  <c r="G461" i="3"/>
  <c r="G460" i="3"/>
  <c r="G459" i="3"/>
  <c r="G458" i="3"/>
  <c r="G457" i="3"/>
  <c r="G456" i="3"/>
  <c r="G455" i="3"/>
  <c r="G454" i="3"/>
  <c r="G453" i="3"/>
  <c r="G452" i="3"/>
  <c r="G451" i="3"/>
  <c r="G450" i="3"/>
  <c r="G449" i="3"/>
  <c r="G448" i="3"/>
  <c r="G447" i="3"/>
  <c r="G446" i="3"/>
  <c r="G445" i="3"/>
  <c r="G444" i="3"/>
  <c r="G443" i="3"/>
  <c r="G442" i="3"/>
  <c r="G441" i="3"/>
  <c r="G440" i="3"/>
  <c r="G439" i="3"/>
  <c r="G438" i="3"/>
  <c r="G437" i="3"/>
  <c r="G436" i="3"/>
  <c r="G435" i="3"/>
  <c r="G434" i="3"/>
  <c r="G433" i="3"/>
  <c r="G432" i="3"/>
  <c r="G431" i="3"/>
  <c r="G430" i="3"/>
  <c r="G429" i="3"/>
  <c r="G428" i="3"/>
  <c r="G427" i="3"/>
  <c r="G426" i="3"/>
  <c r="G425" i="3"/>
  <c r="G424" i="3"/>
  <c r="G423" i="3"/>
  <c r="G422" i="3"/>
  <c r="G421" i="3"/>
  <c r="G420" i="3"/>
  <c r="G419" i="3"/>
  <c r="G418" i="3"/>
  <c r="G417" i="3"/>
  <c r="G416" i="3"/>
  <c r="G415" i="3"/>
  <c r="G414" i="3"/>
  <c r="G413" i="3"/>
  <c r="G412" i="3"/>
  <c r="G411" i="3"/>
  <c r="G410" i="3"/>
  <c r="G409" i="3"/>
  <c r="G408" i="3"/>
  <c r="G407" i="3"/>
  <c r="G406" i="3"/>
  <c r="G405" i="3"/>
  <c r="G404" i="3"/>
  <c r="G403" i="3"/>
  <c r="G402" i="3"/>
  <c r="G401" i="3"/>
  <c r="G400" i="3"/>
  <c r="G399" i="3"/>
  <c r="G398" i="3"/>
  <c r="G397" i="3"/>
  <c r="G396" i="3"/>
  <c r="G395" i="3"/>
  <c r="G394" i="3"/>
  <c r="G393" i="3"/>
  <c r="G392" i="3"/>
  <c r="G391" i="3"/>
  <c r="G390" i="3"/>
  <c r="G389" i="3"/>
  <c r="G388" i="3"/>
  <c r="G387" i="3"/>
  <c r="G386" i="3"/>
  <c r="G385" i="3"/>
  <c r="G384" i="3"/>
  <c r="G383" i="3"/>
  <c r="G382" i="3"/>
  <c r="G381" i="3"/>
  <c r="G380" i="3"/>
  <c r="G379" i="3"/>
  <c r="G378" i="3"/>
  <c r="G377" i="3"/>
  <c r="G376" i="3"/>
  <c r="G375" i="3"/>
  <c r="G374" i="3"/>
  <c r="G373" i="3"/>
  <c r="G372" i="3"/>
  <c r="G371" i="3"/>
  <c r="G370" i="3"/>
  <c r="G369" i="3"/>
  <c r="G368" i="3"/>
  <c r="G367" i="3"/>
  <c r="G366" i="3"/>
  <c r="G365" i="3"/>
  <c r="G364" i="3"/>
  <c r="G363" i="3"/>
  <c r="G362" i="3"/>
  <c r="G361" i="3"/>
  <c r="G360" i="3"/>
  <c r="G359" i="3"/>
  <c r="G358" i="3"/>
  <c r="G357" i="3"/>
  <c r="G356" i="3"/>
  <c r="G355" i="3"/>
  <c r="G354" i="3"/>
  <c r="G353" i="3"/>
  <c r="G352" i="3"/>
  <c r="G351" i="3"/>
  <c r="G350" i="3"/>
  <c r="G349" i="3"/>
  <c r="G348" i="3"/>
  <c r="G347" i="3"/>
  <c r="G346" i="3"/>
  <c r="G345" i="3"/>
  <c r="G344" i="3"/>
  <c r="G343" i="3"/>
  <c r="G342" i="3"/>
  <c r="G341" i="3"/>
  <c r="G340" i="3"/>
  <c r="G339" i="3"/>
  <c r="G338" i="3"/>
  <c r="G337" i="3"/>
  <c r="G336" i="3"/>
  <c r="G335" i="3"/>
  <c r="G334" i="3"/>
  <c r="G333" i="3"/>
  <c r="G332" i="3"/>
  <c r="G331" i="3"/>
  <c r="G330" i="3"/>
  <c r="G329" i="3"/>
  <c r="G328" i="3"/>
  <c r="G327" i="3"/>
  <c r="G326" i="3"/>
  <c r="G325" i="3"/>
  <c r="G324" i="3"/>
  <c r="G323" i="3"/>
  <c r="G322" i="3"/>
  <c r="G321" i="3"/>
  <c r="G320" i="3"/>
  <c r="G319" i="3"/>
  <c r="G318" i="3"/>
  <c r="G317" i="3"/>
  <c r="G316" i="3"/>
  <c r="G315" i="3"/>
  <c r="G314" i="3"/>
  <c r="G313" i="3"/>
  <c r="G312" i="3"/>
  <c r="G311" i="3"/>
  <c r="G310" i="3"/>
  <c r="G309" i="3"/>
  <c r="G308" i="3"/>
  <c r="G307" i="3"/>
  <c r="G306" i="3"/>
  <c r="G305" i="3"/>
  <c r="G304" i="3"/>
  <c r="G303" i="3"/>
  <c r="G302" i="3"/>
  <c r="G301" i="3"/>
  <c r="G300" i="3"/>
  <c r="G299" i="3"/>
  <c r="G298" i="3"/>
  <c r="G297" i="3"/>
  <c r="G296" i="3"/>
  <c r="G295" i="3"/>
  <c r="G294" i="3"/>
  <c r="G293" i="3"/>
  <c r="G292" i="3"/>
  <c r="G291" i="3"/>
  <c r="G290" i="3"/>
  <c r="G289" i="3"/>
  <c r="G288" i="3"/>
  <c r="G287" i="3"/>
  <c r="G286" i="3"/>
  <c r="G285" i="3"/>
  <c r="G284" i="3"/>
  <c r="G283" i="3"/>
  <c r="G282" i="3"/>
  <c r="G281" i="3"/>
  <c r="G280" i="3"/>
  <c r="G279" i="3"/>
  <c r="G278" i="3"/>
  <c r="G277" i="3"/>
  <c r="G276" i="3"/>
  <c r="G275" i="3"/>
  <c r="G274" i="3"/>
  <c r="G273" i="3"/>
  <c r="G272" i="3"/>
  <c r="G271" i="3"/>
  <c r="G270" i="3"/>
  <c r="G269" i="3"/>
  <c r="G268" i="3"/>
  <c r="G267" i="3"/>
  <c r="G266" i="3"/>
  <c r="G265" i="3"/>
  <c r="G264" i="3"/>
  <c r="G263" i="3"/>
  <c r="G262" i="3"/>
  <c r="G261" i="3"/>
  <c r="G260" i="3"/>
  <c r="G259" i="3"/>
  <c r="G258" i="3"/>
  <c r="G257" i="3"/>
  <c r="G256" i="3"/>
  <c r="G255" i="3"/>
  <c r="G254" i="3"/>
  <c r="G253" i="3"/>
  <c r="G252" i="3"/>
  <c r="G251" i="3"/>
  <c r="G250" i="3"/>
  <c r="G249" i="3"/>
  <c r="G248" i="3"/>
  <c r="G247" i="3"/>
  <c r="G246" i="3"/>
  <c r="G245" i="3"/>
  <c r="G244" i="3"/>
  <c r="G243" i="3"/>
  <c r="G242" i="3"/>
  <c r="G241" i="3"/>
  <c r="G240" i="3"/>
  <c r="G239" i="3"/>
  <c r="G238" i="3"/>
  <c r="G237" i="3"/>
  <c r="G236" i="3"/>
  <c r="G235" i="3"/>
  <c r="G234" i="3"/>
  <c r="G233" i="3"/>
  <c r="G232" i="3"/>
  <c r="G231" i="3"/>
  <c r="G230" i="3"/>
  <c r="G229" i="3"/>
  <c r="G228" i="3"/>
  <c r="G227" i="3"/>
  <c r="G226" i="3"/>
  <c r="G225" i="3"/>
  <c r="G224" i="3"/>
  <c r="G223" i="3"/>
  <c r="G222" i="3"/>
  <c r="G221" i="3"/>
  <c r="G220" i="3"/>
  <c r="G219" i="3"/>
  <c r="G218" i="3"/>
  <c r="G217" i="3"/>
  <c r="G216" i="3"/>
  <c r="G215" i="3"/>
  <c r="G214" i="3"/>
  <c r="G213" i="3"/>
  <c r="G212" i="3"/>
  <c r="G211" i="3"/>
  <c r="G210" i="3"/>
  <c r="G209" i="3"/>
  <c r="G208" i="3"/>
  <c r="G207" i="3"/>
  <c r="G206" i="3"/>
  <c r="G205" i="3"/>
  <c r="G204" i="3"/>
  <c r="G203" i="3"/>
  <c r="G202" i="3"/>
  <c r="G201" i="3"/>
  <c r="G200" i="3"/>
  <c r="G199" i="3"/>
  <c r="G198" i="3"/>
  <c r="G197" i="3"/>
  <c r="G196" i="3"/>
  <c r="G195" i="3"/>
  <c r="G194" i="3"/>
  <c r="G193" i="3"/>
  <c r="G192" i="3"/>
  <c r="G191" i="3"/>
  <c r="G190" i="3"/>
  <c r="G189" i="3"/>
  <c r="G188" i="3"/>
  <c r="G187" i="3"/>
  <c r="G186" i="3"/>
  <c r="G185" i="3"/>
  <c r="G184" i="3"/>
  <c r="G183" i="3"/>
  <c r="G182" i="3"/>
  <c r="G181" i="3"/>
  <c r="G180" i="3"/>
  <c r="G179" i="3"/>
  <c r="G178" i="3"/>
  <c r="G177" i="3"/>
  <c r="G176" i="3"/>
  <c r="G175" i="3"/>
  <c r="G174" i="3"/>
  <c r="G173" i="3"/>
  <c r="G172" i="3"/>
  <c r="G171" i="3"/>
  <c r="G170" i="3"/>
  <c r="G169" i="3"/>
  <c r="G168" i="3"/>
  <c r="G167" i="3"/>
  <c r="G166" i="3"/>
  <c r="G165" i="3"/>
  <c r="G164" i="3"/>
  <c r="G163" i="3"/>
  <c r="G162" i="3"/>
  <c r="G161" i="3"/>
  <c r="G160" i="3"/>
  <c r="G159" i="3"/>
  <c r="G158" i="3"/>
  <c r="G157" i="3"/>
  <c r="G156" i="3"/>
  <c r="G155" i="3"/>
  <c r="G154" i="3"/>
  <c r="G153" i="3"/>
  <c r="G152" i="3"/>
  <c r="G151" i="3"/>
  <c r="G150" i="3"/>
  <c r="G149" i="3"/>
  <c r="G148" i="3"/>
  <c r="G147" i="3"/>
  <c r="G146" i="3"/>
  <c r="G145" i="3"/>
  <c r="G144" i="3"/>
  <c r="G143" i="3"/>
  <c r="G142" i="3"/>
  <c r="G141" i="3"/>
  <c r="G140" i="3"/>
  <c r="G139" i="3"/>
  <c r="G138" i="3"/>
  <c r="G137" i="3"/>
  <c r="G136" i="3"/>
  <c r="G135" i="3"/>
  <c r="G134" i="3"/>
  <c r="G133" i="3"/>
  <c r="G132" i="3"/>
  <c r="G131" i="3"/>
  <c r="G130" i="3"/>
  <c r="G129" i="3"/>
  <c r="G128" i="3"/>
  <c r="G127" i="3"/>
  <c r="G126" i="3"/>
  <c r="G125" i="3"/>
  <c r="G124" i="3"/>
  <c r="G123" i="3"/>
  <c r="G122" i="3"/>
  <c r="G121" i="3"/>
  <c r="G120" i="3"/>
  <c r="G119" i="3"/>
  <c r="G118" i="3"/>
  <c r="G117" i="3"/>
  <c r="G116" i="3"/>
  <c r="G115" i="3"/>
  <c r="G114" i="3"/>
  <c r="G113" i="3"/>
  <c r="G112" i="3"/>
  <c r="G111" i="3"/>
  <c r="G110" i="3"/>
  <c r="G109" i="3"/>
  <c r="G108" i="3"/>
  <c r="G107" i="3"/>
  <c r="G106" i="3"/>
  <c r="G105" i="3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73" i="3"/>
  <c r="G72" i="3"/>
  <c r="G71" i="3"/>
  <c r="G70" i="3"/>
  <c r="G69" i="3"/>
  <c r="G68" i="3"/>
  <c r="G67" i="3"/>
  <c r="G66" i="3"/>
  <c r="G65" i="3"/>
  <c r="G64" i="3"/>
  <c r="G63" i="3"/>
  <c r="G62" i="3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G4" i="3"/>
  <c r="G3" i="3"/>
  <c r="G2" i="3"/>
</calcChain>
</file>

<file path=xl/sharedStrings.xml><?xml version="1.0" encoding="utf-8"?>
<sst xmlns="http://schemas.openxmlformats.org/spreadsheetml/2006/main" count="3501" uniqueCount="430">
  <si>
    <t>CG SMART NUMBER GENERATOR</t>
  </si>
  <si>
    <t>Feet</t>
  </si>
  <si>
    <t>INCH</t>
  </si>
  <si>
    <t>ft to in</t>
  </si>
  <si>
    <t>Size</t>
  </si>
  <si>
    <t>Pressure</t>
  </si>
  <si>
    <t xml:space="preserve">Performance </t>
  </si>
  <si>
    <t>Length (in)</t>
  </si>
  <si>
    <t>End Connection 1</t>
  </si>
  <si>
    <t>End Connection 2</t>
  </si>
  <si>
    <t>CG SMART NUMBER</t>
  </si>
  <si>
    <t>Enter You Part Number here</t>
  </si>
  <si>
    <t>Meter</t>
  </si>
  <si>
    <t>LP MLI</t>
  </si>
  <si>
    <t>Smart Number is Case Sensitive</t>
  </si>
  <si>
    <t>m to in</t>
  </si>
  <si>
    <t>CUT LENGTH CALCULATOR</t>
  </si>
  <si>
    <t>CG Smart Number</t>
  </si>
  <si>
    <t>Hose Size</t>
  </si>
  <si>
    <t>Version</t>
  </si>
  <si>
    <t>Enter QTY</t>
  </si>
  <si>
    <t>Drawing and BOM</t>
  </si>
  <si>
    <t>Tube Stub 1</t>
  </si>
  <si>
    <t>Pre-Furnace Length (in)</t>
  </si>
  <si>
    <t>06LPMLI-XXX-XX</t>
  </si>
  <si>
    <t>Tube Stub 2</t>
  </si>
  <si>
    <t>CG SMART NUMBER DECODER</t>
  </si>
  <si>
    <t>Price ($)</t>
  </si>
  <si>
    <t>Nos</t>
  </si>
  <si>
    <t>Item</t>
  </si>
  <si>
    <t>Description</t>
  </si>
  <si>
    <t>Qty</t>
  </si>
  <si>
    <t>Cut Length (in)</t>
  </si>
  <si>
    <t>H004</t>
  </si>
  <si>
    <t>3/8in Unbraided Hose</t>
  </si>
  <si>
    <t>HF008</t>
  </si>
  <si>
    <t>3/8in Inner Ferrule</t>
  </si>
  <si>
    <t>SEARCH SKU NUMBER</t>
  </si>
  <si>
    <t>MI001</t>
  </si>
  <si>
    <t>3" Wide Insulating Layer</t>
  </si>
  <si>
    <t>MR001</t>
  </si>
  <si>
    <t>3" Wide Reflecting Layer</t>
  </si>
  <si>
    <t>Product Category</t>
  </si>
  <si>
    <t>Length (ft)</t>
  </si>
  <si>
    <t>SKU</t>
  </si>
  <si>
    <t>Rev</t>
  </si>
  <si>
    <t>WC SKU</t>
  </si>
  <si>
    <t>CS010</t>
  </si>
  <si>
    <t>Hitex 40mm Sleeve</t>
  </si>
  <si>
    <t>H016</t>
  </si>
  <si>
    <t>1-1/4in Unbraided Hose</t>
  </si>
  <si>
    <t>CF013</t>
  </si>
  <si>
    <t>3/8in to 1-1/4in Cap Fitting (MLI)</t>
  </si>
  <si>
    <t>Search SKU number based on product category, size, and length</t>
  </si>
  <si>
    <t>TW001</t>
  </si>
  <si>
    <t>0.020" 304SS Annealed Tie Wire</t>
  </si>
  <si>
    <t>HTB-255K</t>
  </si>
  <si>
    <t>AMS 4777 Braze Paste</t>
  </si>
  <si>
    <t>2g</t>
  </si>
  <si>
    <t>SEARCH PRODUCT TYPE FROM SKU NUMBER</t>
  </si>
  <si>
    <t>ESTIMATED PRODUCTION TIME (per unit)</t>
  </si>
  <si>
    <t>HOSE WEIGHT CALCULATOR</t>
  </si>
  <si>
    <t>Operations</t>
  </si>
  <si>
    <t>Time (min)</t>
  </si>
  <si>
    <t>Insulon Hose Assembly w/ MLI</t>
  </si>
  <si>
    <t>Approx Weight (lbs)</t>
  </si>
  <si>
    <t>Insulon Hose Thermal Test</t>
  </si>
  <si>
    <t>Insulon Hose QC and Laser Mark</t>
  </si>
  <si>
    <t>Insulon Hose Fitting Installation</t>
  </si>
  <si>
    <t>SWAGELOK PRICING</t>
  </si>
  <si>
    <t>Revision</t>
  </si>
  <si>
    <t>Date of Effectivity</t>
  </si>
  <si>
    <t>*ECN</t>
  </si>
  <si>
    <t>Reason for Change</t>
  </si>
  <si>
    <t>A</t>
  </si>
  <si>
    <t>Initial release</t>
  </si>
  <si>
    <t>B</t>
  </si>
  <si>
    <t>BOM updates for 08 LP/HP MLI / Introduced production time estimate feature/ Uploaded ECN'd drawings</t>
  </si>
  <si>
    <t>C</t>
  </si>
  <si>
    <t>Updated operation names in Estimated production time and corrected time formulae for HP STD and MLI</t>
  </si>
  <si>
    <t>D</t>
  </si>
  <si>
    <t xml:space="preserve">Corrected 3/8" LP and HP MLI BOM </t>
  </si>
  <si>
    <t>E</t>
  </si>
  <si>
    <t>Length deduction for standard M fitting hoses added. "Is this a Julabo USA or M fitting hose?"</t>
  </si>
  <si>
    <t>F</t>
  </si>
  <si>
    <t>Cut Lengths and BOMs can be generated through a CG Smart number. End fitting are also part of the BOM items now. A complete BOM will generate based on the smart number</t>
  </si>
  <si>
    <t>G</t>
  </si>
  <si>
    <t xml:space="preserve">Added a note - "Smart Number is Case Sensitive" / Added 3/8" LP MLI weight calc feature </t>
  </si>
  <si>
    <t>H</t>
  </si>
  <si>
    <t>Julabo/M fitting cut length correction</t>
  </si>
  <si>
    <t>I</t>
  </si>
  <si>
    <t>Added pricing feature for swagelok pricing</t>
  </si>
  <si>
    <t>J</t>
  </si>
  <si>
    <t>Swagelok part number in CM can also be interpreted - Added price feature to Swagelok Part number interpreter. Price can be obtained directly through part number.QC laser mark time base changed to 10 from 4.5 - variable time increased to 5sec from 2sec. Added clear all button.</t>
  </si>
  <si>
    <t>K</t>
  </si>
  <si>
    <t xml:space="preserve">Add 4 min to Insulon hose fitting installation when the Julabo or M Fitting is selected </t>
  </si>
  <si>
    <t>L</t>
  </si>
  <si>
    <t>Swagelok CM part number will be converted to a 00.00 format length. The corresponding CG smart number will not be rounded up/down. Running the Swagelok interpretation program will also initiate bom and cut length program.</t>
  </si>
  <si>
    <t>M</t>
  </si>
  <si>
    <t>Added 04LPMLI and 04HPMLI BOMs, Updated drawing hyperlinks to P drive</t>
  </si>
  <si>
    <t>N</t>
  </si>
  <si>
    <t>Updated Swagelok part number interpreter to check last character of the smart number</t>
  </si>
  <si>
    <t>O</t>
  </si>
  <si>
    <t>Shrinkage percentage updated in cut length calculations</t>
  </si>
  <si>
    <t>*Subsequent changes will be revision/date controlled by document custodian</t>
  </si>
  <si>
    <t>SWAGELOK PRICING (03/15/2024)</t>
  </si>
  <si>
    <t>08HP</t>
  </si>
  <si>
    <t>12HP</t>
  </si>
  <si>
    <t>16HP</t>
  </si>
  <si>
    <t>08HP MLI</t>
  </si>
  <si>
    <t>12HP MLI</t>
  </si>
  <si>
    <t>16HP MLI</t>
  </si>
  <si>
    <t>08Q_1</t>
  </si>
  <si>
    <t>12Q_1</t>
  </si>
  <si>
    <t>16Q_1</t>
  </si>
  <si>
    <t>08Q_2</t>
  </si>
  <si>
    <t>12Q_2</t>
  </si>
  <si>
    <t>16Q_2</t>
  </si>
  <si>
    <t>Check</t>
  </si>
  <si>
    <t>LP STD</t>
  </si>
  <si>
    <t>04LPSTD-XXX-XX</t>
  </si>
  <si>
    <t>H001</t>
  </si>
  <si>
    <t>1/4in Unbraided Hose</t>
  </si>
  <si>
    <t>HF003</t>
  </si>
  <si>
    <t>1/4in Inner Ferrule</t>
  </si>
  <si>
    <t>CS009</t>
  </si>
  <si>
    <t>Hitex 12mm Sleeve</t>
  </si>
  <si>
    <t>H010</t>
  </si>
  <si>
    <t>3/4in Unbraided Hose</t>
  </si>
  <si>
    <t>CF008</t>
  </si>
  <si>
    <t>1/4in to 3/4in Cap Fitting</t>
  </si>
  <si>
    <t>HP STD</t>
  </si>
  <si>
    <t>04HPSTD-XXX-XX</t>
  </si>
  <si>
    <t>H002</t>
  </si>
  <si>
    <t>1/4in Braided Hose</t>
  </si>
  <si>
    <t>BB001</t>
  </si>
  <si>
    <t>1/4in HP Braid Bands</t>
  </si>
  <si>
    <t>CS006</t>
  </si>
  <si>
    <t>Hitex 20mm Sleeve</t>
  </si>
  <si>
    <t>08LPSTD-XXX-XX</t>
  </si>
  <si>
    <t>H007</t>
  </si>
  <si>
    <t>1/2in Unbraided Hose</t>
  </si>
  <si>
    <t>HF004</t>
  </si>
  <si>
    <t>1/2in Inner Ferrule</t>
  </si>
  <si>
    <t>H013</t>
  </si>
  <si>
    <t>1in Unbraided Hose</t>
  </si>
  <si>
    <t>CF003</t>
  </si>
  <si>
    <t>1/2in to 1in Cap Fitting Machined</t>
  </si>
  <si>
    <t>08HPSTD-XXX-XX</t>
  </si>
  <si>
    <t>H008</t>
  </si>
  <si>
    <t>1/2in Braided Hose</t>
  </si>
  <si>
    <t>BB003</t>
  </si>
  <si>
    <t>1/2in HP Braid Bands</t>
  </si>
  <si>
    <t>CS007</t>
  </si>
  <si>
    <t>Hitex 30mm Sleeve</t>
  </si>
  <si>
    <t>08LPMLI-XXX-XX</t>
  </si>
  <si>
    <t>CF009</t>
  </si>
  <si>
    <t>1/2in to 1-1/4in Cap Fitting (MLI)</t>
  </si>
  <si>
    <t>HP MLI</t>
  </si>
  <si>
    <t>08HPMLI-XXX-XX</t>
  </si>
  <si>
    <t>12LPSTD-XXX-XX</t>
  </si>
  <si>
    <t>HF005</t>
  </si>
  <si>
    <t>3/4in Inner Ferrule</t>
  </si>
  <si>
    <t>CF004</t>
  </si>
  <si>
    <t>3/4in to 1-1/4in Cap Fitting Machined</t>
  </si>
  <si>
    <t>12HPSTD-XXX-XX</t>
  </si>
  <si>
    <t>H011</t>
  </si>
  <si>
    <t>3/4in Braided Hose</t>
  </si>
  <si>
    <t>BB004</t>
  </si>
  <si>
    <t>3/4in HP Braid Bands</t>
  </si>
  <si>
    <t>12LPMLI-XXX-XX</t>
  </si>
  <si>
    <t>MI002</t>
  </si>
  <si>
    <t>4.5" Wide Insulating Layer</t>
  </si>
  <si>
    <t>MR002</t>
  </si>
  <si>
    <t>4.5" Wide Reflecting Layer</t>
  </si>
  <si>
    <t>H022</t>
  </si>
  <si>
    <t>2in Unbraided Hose</t>
  </si>
  <si>
    <t>CF010</t>
  </si>
  <si>
    <t>3/4in to 2in Cap Fitting (MLI)</t>
  </si>
  <si>
    <t>12HPMLI-XXX-XX</t>
  </si>
  <si>
    <t>16LPSTD-XXX-XX</t>
  </si>
  <si>
    <t>HF006</t>
  </si>
  <si>
    <t>1in Inner Ferrule</t>
  </si>
  <si>
    <t>H019</t>
  </si>
  <si>
    <t>1-1/2in Unbraided Hose</t>
  </si>
  <si>
    <t>CF005</t>
  </si>
  <si>
    <t xml:space="preserve">1in to 1-1/2in Cap Fitting </t>
  </si>
  <si>
    <t>16HPSTD-XXX-XX</t>
  </si>
  <si>
    <t>H014</t>
  </si>
  <si>
    <t>1in Braided Hose</t>
  </si>
  <si>
    <t>BB005</t>
  </si>
  <si>
    <t>1in HP Braid Bands</t>
  </si>
  <si>
    <t>16LPMLI-XXX-XX</t>
  </si>
  <si>
    <t>MI003</t>
  </si>
  <si>
    <t>5.5" Wide Insulating Layer</t>
  </si>
  <si>
    <t>MR003</t>
  </si>
  <si>
    <t>5.5" Wide Reflecting Layer</t>
  </si>
  <si>
    <t>CF011</t>
  </si>
  <si>
    <t>1in to 2in Cap Fitting (MLI)</t>
  </si>
  <si>
    <t>16HPMLI-XXX-XX</t>
  </si>
  <si>
    <t>06LPSTD-XXX-XX</t>
  </si>
  <si>
    <t>CF012</t>
  </si>
  <si>
    <t xml:space="preserve">3/8in to 3/4in Cap Fitting </t>
  </si>
  <si>
    <t>06HPSTD-XXX-XX</t>
  </si>
  <si>
    <t>H005</t>
  </si>
  <si>
    <t>3/8in Braided Hose</t>
  </si>
  <si>
    <t>BB002</t>
  </si>
  <si>
    <t>3/8in HP Braid Bands</t>
  </si>
  <si>
    <t>06HPMLI-XXX-XX</t>
  </si>
  <si>
    <t>04LPMLI-XXX-XX</t>
  </si>
  <si>
    <t>CF014</t>
  </si>
  <si>
    <t>1/4in to 1in Cap Fitting</t>
  </si>
  <si>
    <t>04HPMLI-XXX-XX</t>
  </si>
  <si>
    <t xml:space="preserve">Product category </t>
  </si>
  <si>
    <t>LP</t>
  </si>
  <si>
    <t>HP</t>
  </si>
  <si>
    <t>STD</t>
  </si>
  <si>
    <t>Hitex 12.5mm Sleeve</t>
  </si>
  <si>
    <t>MLI</t>
  </si>
  <si>
    <t>End Connection</t>
  </si>
  <si>
    <t>SKU number</t>
  </si>
  <si>
    <t>Tube Stub</t>
  </si>
  <si>
    <t>08CB</t>
  </si>
  <si>
    <t>HA001</t>
  </si>
  <si>
    <t>CGA295 - brass</t>
  </si>
  <si>
    <t>CB</t>
  </si>
  <si>
    <t>CGA 295 Brass</t>
  </si>
  <si>
    <t>08CS</t>
  </si>
  <si>
    <t>HA002</t>
  </si>
  <si>
    <t>CGA295 - Stainless Steel</t>
  </si>
  <si>
    <t xml:space="preserve">Hose Size </t>
  </si>
  <si>
    <t>CS</t>
  </si>
  <si>
    <t xml:space="preserve">CGA 295 Stainless Steel </t>
  </si>
  <si>
    <t>04J37</t>
  </si>
  <si>
    <t>EF013</t>
  </si>
  <si>
    <t>1/4" JIC 37 sleeve</t>
  </si>
  <si>
    <t>J37</t>
  </si>
  <si>
    <r>
      <t>SAE/JIC 37</t>
    </r>
    <r>
      <rPr>
        <sz val="11"/>
        <color theme="1"/>
        <rFont val="Calibri"/>
        <family val="2"/>
      </rPr>
      <t>° Flare</t>
    </r>
  </si>
  <si>
    <t>EF014</t>
  </si>
  <si>
    <t>1/4" JIC 37 nut</t>
  </si>
  <si>
    <t>J45</t>
  </si>
  <si>
    <r>
      <t>SAE/JIC 45</t>
    </r>
    <r>
      <rPr>
        <sz val="11"/>
        <color theme="1"/>
        <rFont val="Calibri"/>
        <family val="2"/>
      </rPr>
      <t>° Flare</t>
    </r>
  </si>
  <si>
    <t>06J37</t>
  </si>
  <si>
    <t>EF015</t>
  </si>
  <si>
    <t>3/8" JIC 37 sleeve</t>
  </si>
  <si>
    <t>M16</t>
  </si>
  <si>
    <t>M16x1 Female Nut</t>
  </si>
  <si>
    <t>EF016</t>
  </si>
  <si>
    <t>3/8" JIC 37 nut</t>
  </si>
  <si>
    <t>M24</t>
  </si>
  <si>
    <t>M24x1.5 Female Nut</t>
  </si>
  <si>
    <t>08J37</t>
  </si>
  <si>
    <t>EF017</t>
  </si>
  <si>
    <t>1/2" JIC 37 sleeve</t>
  </si>
  <si>
    <t>M30</t>
  </si>
  <si>
    <t>M30x1.5 Female Nut</t>
  </si>
  <si>
    <t>EF018</t>
  </si>
  <si>
    <t>1/2" JIC 37 nut</t>
  </si>
  <si>
    <t>M38</t>
  </si>
  <si>
    <t>M38x1.5 Female Nut</t>
  </si>
  <si>
    <t>12J37</t>
  </si>
  <si>
    <t>EF019</t>
  </si>
  <si>
    <t>3/4" JIC 37 sleeve</t>
  </si>
  <si>
    <t>VF</t>
  </si>
  <si>
    <t>VCR Female</t>
  </si>
  <si>
    <t>EF020</t>
  </si>
  <si>
    <t>3/4" JIC 37 nut</t>
  </si>
  <si>
    <t>VM</t>
  </si>
  <si>
    <t>VCR Male</t>
  </si>
  <si>
    <t>16J37</t>
  </si>
  <si>
    <t>EF021</t>
  </si>
  <si>
    <t>1" JIC 37 sleeve</t>
  </si>
  <si>
    <t>EF022</t>
  </si>
  <si>
    <t>1" JIC 37 nut</t>
  </si>
  <si>
    <t>04J45</t>
  </si>
  <si>
    <t>EF023</t>
  </si>
  <si>
    <t>1/4" SAE 45 Female nut brass</t>
  </si>
  <si>
    <t>CG Smart number</t>
  </si>
  <si>
    <t>06J45</t>
  </si>
  <si>
    <t>EF024</t>
  </si>
  <si>
    <t>3/8" SAE 45 Female nut brass</t>
  </si>
  <si>
    <t>Perfromance</t>
  </si>
  <si>
    <t>08J45</t>
  </si>
  <si>
    <t>EF025</t>
  </si>
  <si>
    <t>1/2" SAE 45 Female nut brass</t>
  </si>
  <si>
    <t>04</t>
  </si>
  <si>
    <t>12J45</t>
  </si>
  <si>
    <t>EF026</t>
  </si>
  <si>
    <t>3/4" SAE 45 Female nut brass</t>
  </si>
  <si>
    <t>06</t>
  </si>
  <si>
    <t>16J45</t>
  </si>
  <si>
    <t>EF027</t>
  </si>
  <si>
    <t>1" SAE 45 Female nut brass</t>
  </si>
  <si>
    <t>08</t>
  </si>
  <si>
    <t>08M16</t>
  </si>
  <si>
    <t>EF001</t>
  </si>
  <si>
    <t>M16X1 adapter</t>
  </si>
  <si>
    <t>12</t>
  </si>
  <si>
    <t>16</t>
  </si>
  <si>
    <t>08M24</t>
  </si>
  <si>
    <t>EF002</t>
  </si>
  <si>
    <t>M24X1.5 adapter</t>
  </si>
  <si>
    <t>12M30</t>
  </si>
  <si>
    <t>EF003</t>
  </si>
  <si>
    <t>M30X1.5 adapter</t>
  </si>
  <si>
    <t>16M38</t>
  </si>
  <si>
    <t>EF004</t>
  </si>
  <si>
    <t>M38X1.5 adapter</t>
  </si>
  <si>
    <t>Insulon Hose Assembly</t>
  </si>
  <si>
    <t>Insulon Hose Cutting and HP Inner SA</t>
  </si>
  <si>
    <t>P</t>
  </si>
  <si>
    <t>Fixed rounding error in Swagelok Pricing</t>
  </si>
  <si>
    <t>SWAGELOK SMART NUMBER</t>
  </si>
  <si>
    <t>Q</t>
  </si>
  <si>
    <t>Updated BOM with correct/current Revs for BB002, BB003, and BB005</t>
  </si>
  <si>
    <t>R</t>
  </si>
  <si>
    <t>Added weight calc for 04HPMLI and 04LPMLI - Corrected weight formula for 08LPMLI</t>
  </si>
  <si>
    <t>PASS</t>
  </si>
  <si>
    <t>FAIL</t>
  </si>
  <si>
    <t>AH</t>
  </si>
  <si>
    <t>S</t>
  </si>
  <si>
    <t>T41 Test Station data log added to the configurator for post processing</t>
  </si>
  <si>
    <t>04LPSTD</t>
  </si>
  <si>
    <t>04HPSTD</t>
  </si>
  <si>
    <t>04LPMLI</t>
  </si>
  <si>
    <t>04HPMLI</t>
  </si>
  <si>
    <t>06LPSTD</t>
  </si>
  <si>
    <t>06HPSTD</t>
  </si>
  <si>
    <t>06LPMLI</t>
  </si>
  <si>
    <t>06HPMLI</t>
  </si>
  <si>
    <t>08LPSTD</t>
  </si>
  <si>
    <t>08HPSTD</t>
  </si>
  <si>
    <t>08LPMLI</t>
  </si>
  <si>
    <t>08HPMLI</t>
  </si>
  <si>
    <t>12LPSTD</t>
  </si>
  <si>
    <t>12HPSTD</t>
  </si>
  <si>
    <t>12LPMLI</t>
  </si>
  <si>
    <t>12HPMLI</t>
  </si>
  <si>
    <t>16LPSTD</t>
  </si>
  <si>
    <t>16HPSTD</t>
  </si>
  <si>
    <t>16LPMLI</t>
  </si>
  <si>
    <t>16HPMLI</t>
  </si>
  <si>
    <t>OVERALL</t>
  </si>
  <si>
    <t>KT</t>
  </si>
  <si>
    <t>T</t>
  </si>
  <si>
    <t>Added dashboard for yield analysis</t>
  </si>
  <si>
    <t>Weekly</t>
  </si>
  <si>
    <t>Monthly</t>
  </si>
  <si>
    <t>U</t>
  </si>
  <si>
    <t>Added new feature to capture operator performance across product types</t>
  </si>
  <si>
    <t>Product Type</t>
  </si>
  <si>
    <t>Category</t>
  </si>
  <si>
    <t>Count</t>
  </si>
  <si>
    <t>Overall</t>
  </si>
  <si>
    <t>PJ37</t>
  </si>
  <si>
    <r>
      <t>Precision SAE/JIC 37</t>
    </r>
    <r>
      <rPr>
        <sz val="11"/>
        <color theme="1"/>
        <rFont val="Calibri"/>
        <family val="2"/>
      </rPr>
      <t>° Flare</t>
    </r>
  </si>
  <si>
    <t>Precision 1/4" JIC 37 sleeve</t>
  </si>
  <si>
    <t>Precision 1/4" JIC 37 nut</t>
  </si>
  <si>
    <t>Precision 3/8" JIC 37 sleeve</t>
  </si>
  <si>
    <t>Precision 3/8" JIC 37 nut</t>
  </si>
  <si>
    <t>Precision 1/2" JIC 37 sleeve</t>
  </si>
  <si>
    <t>Precision 1/2" JIC 37 nut</t>
  </si>
  <si>
    <t>Precision 3/4" JIC 37 sleeve</t>
  </si>
  <si>
    <t>Precision 3/4" JIC 37 nut</t>
  </si>
  <si>
    <t>Precision 1" JIC 37 sleeve</t>
  </si>
  <si>
    <t>Precision 1" JIC 37 nut</t>
  </si>
  <si>
    <t>04PJ37</t>
  </si>
  <si>
    <t>06PJ37</t>
  </si>
  <si>
    <t>08PJ37</t>
  </si>
  <si>
    <t>12PJ37</t>
  </si>
  <si>
    <t>16PJ37</t>
  </si>
  <si>
    <t>V</t>
  </si>
  <si>
    <t>Updated sleeving size for 06/04 MLI, Updated BOM for M-Fittings</t>
  </si>
  <si>
    <t>SHIPPING CONFIGURATION</t>
  </si>
  <si>
    <t>Order Qty</t>
  </si>
  <si>
    <t>Box Size</t>
  </si>
  <si>
    <t>Box Qty</t>
  </si>
  <si>
    <t>Hoses per Box</t>
  </si>
  <si>
    <t>Shipment Weight</t>
  </si>
  <si>
    <t>Volume</t>
  </si>
  <si>
    <t>Total Length per Box</t>
  </si>
  <si>
    <t>W</t>
  </si>
  <si>
    <t>Added shipping configuration</t>
  </si>
  <si>
    <t>36x36x20</t>
  </si>
  <si>
    <t>04HP</t>
  </si>
  <si>
    <t>06HP</t>
  </si>
  <si>
    <t>04HP MLI</t>
  </si>
  <si>
    <t>06HP MLI</t>
  </si>
  <si>
    <t>04Q_1</t>
  </si>
  <si>
    <t>06Q_1</t>
  </si>
  <si>
    <t>04Q_2</t>
  </si>
  <si>
    <t>06Q_2</t>
  </si>
  <si>
    <t>X</t>
  </si>
  <si>
    <t>Added FV4 and FV6 hoses and pricing</t>
  </si>
  <si>
    <t>DESCRIPTION</t>
  </si>
  <si>
    <t>3/8in HP Braid Bands - REV C</t>
  </si>
  <si>
    <t>1in HP Braid Bands - REV B</t>
  </si>
  <si>
    <t>1/2in HP Braid Bands - REV B</t>
  </si>
  <si>
    <t>EF011</t>
  </si>
  <si>
    <t>EF007</t>
  </si>
  <si>
    <t>EF005</t>
  </si>
  <si>
    <t>EF009</t>
  </si>
  <si>
    <t>65cba8e0011f783b09a277d6</t>
  </si>
  <si>
    <t>65cb9b47bd03e2f47a349719</t>
  </si>
  <si>
    <t>65cb9d4cbd03e2f47a349796</t>
  </si>
  <si>
    <t>65cba2babd03e2f47a3498be</t>
  </si>
  <si>
    <t>65d4d84db16fca47947176d3</t>
  </si>
  <si>
    <t>65cba648bd03e2f47a3499ba</t>
  </si>
  <si>
    <t>Y</t>
  </si>
  <si>
    <t>Fulcrum Operations ID</t>
  </si>
  <si>
    <t>Added a new sheet for Sales Drawings (new drawings without the BOM - must have O: Drive access), The operation and production time table is dynamic - it will add or remove fitting installation step based on the part number, Create Items in FULCRUM directly from the configurator (Can't handle SS- part numbers), BOM can be generated for the cases when only 1 end connection is required. It can also handle the cases where both end connections are different.</t>
  </si>
  <si>
    <t>36x36x12</t>
  </si>
  <si>
    <t>30x30x16</t>
  </si>
  <si>
    <t>M16X1 nut</t>
  </si>
  <si>
    <t>M24X1.5 nut</t>
  </si>
  <si>
    <t>M30X1.5 nut</t>
  </si>
  <si>
    <t>M38X1.5 nut</t>
  </si>
  <si>
    <t>24x24x12</t>
  </si>
  <si>
    <t>18x18x6</t>
  </si>
  <si>
    <t>20x20x6</t>
  </si>
  <si>
    <t>18x18x12</t>
  </si>
  <si>
    <t>20x20x8</t>
  </si>
  <si>
    <t>WC</t>
  </si>
  <si>
    <t>Z</t>
  </si>
  <si>
    <t>Added 2% length to Hoses &lt;=120in with M-Fittings</t>
  </si>
  <si>
    <t xml:space="preserve">Min </t>
  </si>
  <si>
    <t>Max</t>
  </si>
  <si>
    <t>AA</t>
  </si>
  <si>
    <t>Added 3 convolution at both ends to adjust losses during the clean cut process - applied to all sizes</t>
  </si>
  <si>
    <t>Rev AA  05/22/2025 ECN: 87 ACTIVE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</si>
</sst>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(&quot;$&quot;* #,##0.00_);_(&quot;$&quot;* \(#,##0.00\);_(&quot;$&quot;* &quot;-&quot;??_);_(@_)"/>
    <numFmt numFmtId="164" formatCode="0.000"/>
    <numFmt numFmtId="165" formatCode="0.0"/>
    <numFmt numFmtId="166" formatCode="#\ ??/16"/>
    <numFmt numFmtId="167" formatCode="0.0000"/>
    <numFmt numFmtId="168" formatCode="&quot;$&quot;#,##0.00"/>
  </numFmts>
  <fonts count="24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rgb="FF3F3F76"/>
      <name val="Calibri"/>
      <family val="2"/>
      <scheme val="minor"/>
    </font>
    <font>
      <b/>
      <sz val="14"/>
      <color rgb="FFFA7D00"/>
      <name val="Calibri"/>
      <family val="2"/>
      <scheme val="minor"/>
    </font>
    <font>
      <sz val="10"/>
      <color rgb="FFFF0000"/>
      <name val="Calibri"/>
      <family val="2"/>
      <scheme val="minor"/>
    </font>
    <font>
      <sz val="9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20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CC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9.9978637043366805E-2"/>
        <bgColor indexed="64"/>
      </patternFill>
    </fill>
  </fills>
  <borders count="6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>
      <left style="thin">
        <color rgb="FFB2B2B2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/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medium">
        <color indexed="64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/>
      <top style="thin">
        <color rgb="FF7F7F7F"/>
      </top>
      <bottom style="medium">
        <color indexed="64"/>
      </bottom>
      <diagonal/>
    </border>
    <border>
      <left style="thin">
        <color rgb="FF3F3F3F"/>
      </left>
      <right style="medium">
        <color indexed="64"/>
      </right>
      <top style="thin">
        <color rgb="FF3F3F3F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rgb="FF7F7F7F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  <border>
      <left style="thin">
        <color rgb="FF3F3F3F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rgb="FFB2B2B2"/>
      </top>
      <bottom/>
      <diagonal/>
    </border>
    <border>
      <left/>
      <right style="thin">
        <color rgb="FFB2B2B2"/>
      </right>
      <top style="thin">
        <color rgb="FFB2B2B2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rgb="FF3F3F3F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  <xf numFmtId="0" fontId="8" fillId="6" borderId="15" applyNumberFormat="0" applyFont="0" applyAlignment="0" applyProtection="0"/>
    <xf numFmtId="0" fontId="9" fillId="0" borderId="0" applyNumberFormat="0" applyFill="0" applyBorder="0" applyAlignment="0" applyProtection="0"/>
    <xf numFmtId="44" fontId="8" fillId="0" borderId="0" applyFont="0" applyFill="0" applyBorder="0" applyAlignment="0" applyProtection="0"/>
    <xf numFmtId="0" fontId="16" fillId="3" borderId="1" applyNumberFormat="0" applyAlignment="0" applyProtection="0"/>
  </cellStyleXfs>
  <cellXfs count="179">
    <xf numFmtId="0" fontId="0" fillId="0" borderId="0" xfId="0"/>
    <xf numFmtId="0" fontId="1" fillId="2" borderId="1" xfId="1" applyAlignment="1">
      <alignment horizontal="center" vertical="center"/>
    </xf>
    <xf numFmtId="0" fontId="2" fillId="3" borderId="2" xfId="2" applyAlignment="1">
      <alignment horizontal="center" vertical="center"/>
    </xf>
    <xf numFmtId="0" fontId="6" fillId="4" borderId="0" xfId="0" applyFont="1" applyFill="1"/>
    <xf numFmtId="0" fontId="5" fillId="4" borderId="0" xfId="0" applyFont="1" applyFill="1"/>
    <xf numFmtId="0" fontId="0" fillId="4" borderId="0" xfId="0" applyFill="1"/>
    <xf numFmtId="0" fontId="3" fillId="0" borderId="6" xfId="0" applyFont="1" applyBorder="1" applyAlignment="1">
      <alignment wrapText="1"/>
    </xf>
    <xf numFmtId="0" fontId="3" fillId="0" borderId="8" xfId="0" applyFont="1" applyBorder="1"/>
    <xf numFmtId="0" fontId="7" fillId="0" borderId="6" xfId="0" applyFont="1" applyBorder="1"/>
    <xf numFmtId="0" fontId="7" fillId="0" borderId="8" xfId="0" applyFont="1" applyBorder="1"/>
    <xf numFmtId="0" fontId="0" fillId="0" borderId="0" xfId="0" applyAlignment="1">
      <alignment horizontal="left" vertical="center"/>
    </xf>
    <xf numFmtId="164" fontId="0" fillId="0" borderId="0" xfId="0" applyNumberFormat="1" applyAlignment="1">
      <alignment horizontal="left" vertical="center"/>
    </xf>
    <xf numFmtId="164" fontId="0" fillId="0" borderId="0" xfId="0" applyNumberFormat="1" applyAlignment="1">
      <alignment horizontal="left" vertical="center" wrapText="1"/>
    </xf>
    <xf numFmtId="0" fontId="0" fillId="0" borderId="9" xfId="0" applyBorder="1" applyAlignment="1">
      <alignment horizontal="left" vertical="center"/>
    </xf>
    <xf numFmtId="164" fontId="0" fillId="0" borderId="10" xfId="0" applyNumberFormat="1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164" fontId="0" fillId="0" borderId="12" xfId="0" applyNumberFormat="1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164" fontId="0" fillId="0" borderId="14" xfId="0" applyNumberFormat="1" applyBorder="1" applyAlignment="1">
      <alignment horizontal="left" vertical="center"/>
    </xf>
    <xf numFmtId="0" fontId="4" fillId="0" borderId="0" xfId="0" applyFont="1"/>
    <xf numFmtId="0" fontId="3" fillId="0" borderId="0" xfId="0" applyFont="1" applyAlignment="1">
      <alignment horizontal="center" vertical="center"/>
    </xf>
    <xf numFmtId="1" fontId="0" fillId="0" borderId="0" xfId="0" applyNumberFormat="1" applyAlignment="1">
      <alignment horizontal="left" vertical="center"/>
    </xf>
    <xf numFmtId="0" fontId="0" fillId="7" borderId="0" xfId="0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0" fillId="8" borderId="0" xfId="0" applyFill="1"/>
    <xf numFmtId="0" fontId="3" fillId="8" borderId="0" xfId="0" applyFont="1" applyFill="1" applyAlignment="1">
      <alignment horizontal="center" vertical="center" wrapText="1"/>
    </xf>
    <xf numFmtId="0" fontId="3" fillId="8" borderId="16" xfId="0" applyFont="1" applyFill="1" applyBorder="1" applyAlignment="1">
      <alignment horizontal="center" vertical="center"/>
    </xf>
    <xf numFmtId="0" fontId="3" fillId="8" borderId="3" xfId="0" applyFont="1" applyFill="1" applyBorder="1" applyAlignment="1">
      <alignment horizontal="center" vertical="center"/>
    </xf>
    <xf numFmtId="0" fontId="3" fillId="8" borderId="4" xfId="0" applyFont="1" applyFill="1" applyBorder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3" fillId="8" borderId="6" xfId="0" applyFont="1" applyFill="1" applyBorder="1" applyAlignment="1">
      <alignment horizontal="center" vertical="center"/>
    </xf>
    <xf numFmtId="0" fontId="3" fillId="8" borderId="7" xfId="0" applyFont="1" applyFill="1" applyBorder="1" applyAlignment="1">
      <alignment horizontal="center" vertical="center"/>
    </xf>
    <xf numFmtId="0" fontId="3" fillId="8" borderId="7" xfId="0" applyFont="1" applyFill="1" applyBorder="1" applyAlignment="1">
      <alignment horizontal="center" vertical="center" wrapText="1"/>
    </xf>
    <xf numFmtId="0" fontId="3" fillId="8" borderId="8" xfId="0" applyFont="1" applyFill="1" applyBorder="1" applyAlignment="1">
      <alignment horizontal="center" vertical="center"/>
    </xf>
    <xf numFmtId="0" fontId="1" fillId="2" borderId="17" xfId="1" applyBorder="1" applyAlignment="1">
      <alignment horizontal="left" vertical="center"/>
    </xf>
    <xf numFmtId="164" fontId="1" fillId="2" borderId="17" xfId="1" applyNumberFormat="1" applyBorder="1" applyAlignment="1">
      <alignment horizontal="left" vertical="center"/>
    </xf>
    <xf numFmtId="1" fontId="1" fillId="2" borderId="17" xfId="1" applyNumberFormat="1" applyBorder="1" applyAlignment="1">
      <alignment horizontal="left" vertical="center"/>
    </xf>
    <xf numFmtId="0" fontId="2" fillId="3" borderId="18" xfId="2" applyBorder="1" applyAlignment="1">
      <alignment horizontal="center"/>
    </xf>
    <xf numFmtId="0" fontId="9" fillId="8" borderId="0" xfId="4" applyFill="1" applyBorder="1" applyAlignment="1">
      <alignment horizontal="center" vertical="center"/>
    </xf>
    <xf numFmtId="0" fontId="0" fillId="6" borderId="19" xfId="3" applyFont="1" applyBorder="1" applyAlignment="1">
      <alignment horizontal="center" vertical="center" wrapText="1"/>
    </xf>
    <xf numFmtId="0" fontId="0" fillId="6" borderId="0" xfId="3" applyFont="1" applyBorder="1" applyAlignment="1">
      <alignment horizontal="center" vertical="center" wrapText="1"/>
    </xf>
    <xf numFmtId="1" fontId="1" fillId="2" borderId="5" xfId="1" applyNumberFormat="1" applyBorder="1" applyAlignment="1">
      <alignment horizontal="center" vertical="center"/>
    </xf>
    <xf numFmtId="0" fontId="10" fillId="8" borderId="16" xfId="0" applyFont="1" applyFill="1" applyBorder="1" applyAlignment="1">
      <alignment horizontal="center" vertical="center"/>
    </xf>
    <xf numFmtId="2" fontId="1" fillId="2" borderId="5" xfId="1" applyNumberFormat="1" applyBorder="1" applyAlignment="1">
      <alignment horizontal="center" vertical="center"/>
    </xf>
    <xf numFmtId="0" fontId="3" fillId="8" borderId="8" xfId="0" applyFont="1" applyFill="1" applyBorder="1" applyAlignment="1">
      <alignment vertical="center"/>
    </xf>
    <xf numFmtId="0" fontId="2" fillId="3" borderId="22" xfId="2" applyBorder="1" applyAlignment="1">
      <alignment horizontal="center" vertical="center"/>
    </xf>
    <xf numFmtId="0" fontId="2" fillId="3" borderId="23" xfId="2" applyBorder="1" applyAlignment="1">
      <alignment horizontal="center" vertical="center"/>
    </xf>
    <xf numFmtId="1" fontId="1" fillId="2" borderId="24" xfId="1" applyNumberFormat="1" applyBorder="1" applyAlignment="1">
      <alignment horizontal="center" vertical="center"/>
    </xf>
    <xf numFmtId="0" fontId="2" fillId="3" borderId="25" xfId="2" applyBorder="1" applyAlignment="1">
      <alignment horizontal="center" vertical="center"/>
    </xf>
    <xf numFmtId="165" fontId="1" fillId="2" borderId="26" xfId="1" applyNumberFormat="1" applyBorder="1" applyAlignment="1">
      <alignment horizontal="center" vertical="center"/>
    </xf>
    <xf numFmtId="2" fontId="2" fillId="3" borderId="27" xfId="2" applyNumberFormat="1" applyBorder="1" applyAlignment="1">
      <alignment horizontal="center" vertical="center"/>
    </xf>
    <xf numFmtId="49" fontId="0" fillId="0" borderId="9" xfId="0" applyNumberFormat="1" applyBorder="1" applyAlignment="1">
      <alignment horizontal="center" vertical="center"/>
    </xf>
    <xf numFmtId="49" fontId="0" fillId="0" borderId="11" xfId="0" applyNumberFormat="1" applyBorder="1" applyAlignment="1">
      <alignment horizontal="center" vertical="center"/>
    </xf>
    <xf numFmtId="0" fontId="1" fillId="2" borderId="17" xfId="1" applyBorder="1" applyAlignment="1">
      <alignment horizontal="center" vertical="center"/>
    </xf>
    <xf numFmtId="1" fontId="1" fillId="2" borderId="17" xfId="1" applyNumberFormat="1" applyBorder="1" applyAlignment="1">
      <alignment horizontal="center" vertical="center"/>
    </xf>
    <xf numFmtId="0" fontId="2" fillId="3" borderId="18" xfId="2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164" fontId="0" fillId="0" borderId="20" xfId="0" applyNumberFormat="1" applyBorder="1" applyAlignment="1">
      <alignment horizontal="left" vertical="center"/>
    </xf>
    <xf numFmtId="0" fontId="0" fillId="0" borderId="12" xfId="0" applyBorder="1" applyAlignment="1">
      <alignment horizontal="center"/>
    </xf>
    <xf numFmtId="0" fontId="0" fillId="0" borderId="12" xfId="0" applyBorder="1"/>
    <xf numFmtId="49" fontId="0" fillId="0" borderId="13" xfId="0" applyNumberFormat="1" applyBorder="1" applyAlignment="1">
      <alignment horizontal="center" vertical="center"/>
    </xf>
    <xf numFmtId="164" fontId="0" fillId="0" borderId="28" xfId="0" applyNumberFormat="1" applyBorder="1" applyAlignment="1">
      <alignment horizontal="left" vertical="center"/>
    </xf>
    <xf numFmtId="0" fontId="0" fillId="0" borderId="14" xfId="0" applyBorder="1"/>
    <xf numFmtId="164" fontId="0" fillId="0" borderId="29" xfId="0" applyNumberFormat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3" fillId="0" borderId="7" xfId="0" applyFont="1" applyBorder="1" applyAlignment="1">
      <alignment wrapText="1"/>
    </xf>
    <xf numFmtId="0" fontId="3" fillId="0" borderId="8" xfId="0" applyFont="1" applyBorder="1" applyAlignment="1">
      <alignment wrapText="1"/>
    </xf>
    <xf numFmtId="166" fontId="0" fillId="8" borderId="0" xfId="0" applyNumberFormat="1" applyFill="1"/>
    <xf numFmtId="0" fontId="3" fillId="8" borderId="0" xfId="0" applyFont="1" applyFill="1"/>
    <xf numFmtId="0" fontId="12" fillId="6" borderId="34" xfId="3" applyFont="1" applyBorder="1" applyAlignment="1">
      <alignment horizontal="left" vertical="top"/>
    </xf>
    <xf numFmtId="0" fontId="12" fillId="8" borderId="0" xfId="0" applyFont="1" applyFill="1"/>
    <xf numFmtId="0" fontId="0" fillId="0" borderId="32" xfId="0" applyBorder="1" applyAlignment="1">
      <alignment horizontal="center" vertical="center"/>
    </xf>
    <xf numFmtId="0" fontId="3" fillId="9" borderId="16" xfId="0" applyFont="1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14" fontId="0" fillId="0" borderId="37" xfId="0" applyNumberFormat="1" applyBorder="1" applyAlignment="1">
      <alignment horizontal="center" vertic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6" xfId="0" applyBorder="1" applyAlignment="1">
      <alignment horizontal="center"/>
    </xf>
    <xf numFmtId="14" fontId="0" fillId="0" borderId="38" xfId="0" applyNumberFormat="1" applyBorder="1" applyAlignment="1">
      <alignment horizont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 indent="4"/>
    </xf>
    <xf numFmtId="0" fontId="9" fillId="0" borderId="0" xfId="4" applyFill="1" applyAlignment="1">
      <alignment horizontal="center"/>
    </xf>
    <xf numFmtId="0" fontId="1" fillId="2" borderId="42" xfId="1" applyNumberFormat="1" applyBorder="1" applyAlignment="1">
      <alignment horizontal="center" vertical="center"/>
    </xf>
    <xf numFmtId="164" fontId="1" fillId="2" borderId="43" xfId="1" applyNumberFormat="1" applyBorder="1" applyAlignment="1">
      <alignment horizontal="center" vertical="center"/>
    </xf>
    <xf numFmtId="1" fontId="1" fillId="2" borderId="43" xfId="1" applyNumberFormat="1" applyBorder="1" applyAlignment="1">
      <alignment horizontal="center" vertical="center"/>
    </xf>
    <xf numFmtId="0" fontId="1" fillId="2" borderId="43" xfId="1" applyBorder="1" applyAlignment="1">
      <alignment horizontal="center" vertical="center"/>
    </xf>
    <xf numFmtId="0" fontId="2" fillId="3" borderId="44" xfId="2" applyBorder="1" applyAlignment="1">
      <alignment horizontal="center" vertical="center"/>
    </xf>
    <xf numFmtId="0" fontId="1" fillId="2" borderId="16" xfId="1" applyBorder="1" applyAlignment="1">
      <alignment horizontal="center" vertical="center"/>
    </xf>
    <xf numFmtId="2" fontId="0" fillId="8" borderId="0" xfId="0" applyNumberFormat="1" applyFill="1"/>
    <xf numFmtId="0" fontId="13" fillId="6" borderId="16" xfId="3" applyFont="1" applyBorder="1" applyAlignment="1">
      <alignment horizontal="center" vertical="center"/>
    </xf>
    <xf numFmtId="1" fontId="12" fillId="6" borderId="38" xfId="3" applyNumberFormat="1" applyFont="1" applyBorder="1" applyAlignment="1">
      <alignment horizontal="center" vertical="center"/>
    </xf>
    <xf numFmtId="1" fontId="12" fillId="6" borderId="39" xfId="3" applyNumberFormat="1" applyFont="1" applyBorder="1" applyAlignment="1">
      <alignment horizontal="center" vertical="center"/>
    </xf>
    <xf numFmtId="2" fontId="12" fillId="6" borderId="34" xfId="3" applyNumberFormat="1" applyFont="1" applyBorder="1" applyAlignment="1">
      <alignment horizontal="left" vertical="top"/>
    </xf>
    <xf numFmtId="1" fontId="12" fillId="6" borderId="34" xfId="3" applyNumberFormat="1" applyFont="1" applyBorder="1" applyAlignment="1">
      <alignment horizontal="left" vertical="top"/>
    </xf>
    <xf numFmtId="0" fontId="3" fillId="0" borderId="16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0" fillId="0" borderId="38" xfId="0" applyBorder="1"/>
    <xf numFmtId="0" fontId="0" fillId="0" borderId="34" xfId="0" applyBorder="1"/>
    <xf numFmtId="0" fontId="0" fillId="0" borderId="38" xfId="0" applyBorder="1" applyAlignment="1">
      <alignment horizontal="center" vertical="center"/>
    </xf>
    <xf numFmtId="0" fontId="4" fillId="0" borderId="38" xfId="0" applyFont="1" applyBorder="1" applyAlignment="1">
      <alignment horizontal="center" vertical="center"/>
    </xf>
    <xf numFmtId="0" fontId="4" fillId="0" borderId="38" xfId="0" applyFont="1" applyBorder="1" applyAlignment="1">
      <alignment horizontal="center" vertical="center" wrapText="1"/>
    </xf>
    <xf numFmtId="167" fontId="0" fillId="8" borderId="0" xfId="0" applyNumberFormat="1" applyFill="1"/>
    <xf numFmtId="0" fontId="14" fillId="8" borderId="0" xfId="0" applyFont="1" applyFill="1" applyAlignment="1">
      <alignment horizontal="center" vertical="center"/>
    </xf>
    <xf numFmtId="0" fontId="0" fillId="8" borderId="41" xfId="0" applyFill="1" applyBorder="1"/>
    <xf numFmtId="0" fontId="17" fillId="0" borderId="47" xfId="0" applyFont="1" applyBorder="1"/>
    <xf numFmtId="0" fontId="17" fillId="0" borderId="48" xfId="0" applyFont="1" applyBorder="1"/>
    <xf numFmtId="44" fontId="19" fillId="3" borderId="50" xfId="6" applyNumberFormat="1" applyFont="1" applyBorder="1"/>
    <xf numFmtId="44" fontId="19" fillId="3" borderId="51" xfId="6" applyNumberFormat="1" applyFont="1" applyBorder="1"/>
    <xf numFmtId="44" fontId="0" fillId="0" borderId="29" xfId="5" applyFont="1" applyBorder="1"/>
    <xf numFmtId="44" fontId="0" fillId="0" borderId="10" xfId="5" applyFont="1" applyBorder="1"/>
    <xf numFmtId="0" fontId="0" fillId="0" borderId="11" xfId="0" applyBorder="1"/>
    <xf numFmtId="44" fontId="0" fillId="0" borderId="20" xfId="5" applyFont="1" applyBorder="1"/>
    <xf numFmtId="44" fontId="0" fillId="0" borderId="12" xfId="5" applyFont="1" applyBorder="1"/>
    <xf numFmtId="0" fontId="0" fillId="0" borderId="13" xfId="0" applyBorder="1"/>
    <xf numFmtId="44" fontId="0" fillId="0" borderId="28" xfId="5" applyFont="1" applyBorder="1"/>
    <xf numFmtId="44" fontId="0" fillId="0" borderId="14" xfId="5" applyFont="1" applyBorder="1"/>
    <xf numFmtId="168" fontId="2" fillId="3" borderId="18" xfId="2" applyNumberFormat="1" applyBorder="1" applyAlignment="1">
      <alignment horizontal="center"/>
    </xf>
    <xf numFmtId="0" fontId="3" fillId="8" borderId="39" xfId="0" applyFont="1" applyFill="1" applyBorder="1" applyAlignment="1">
      <alignment horizontal="center" vertical="center"/>
    </xf>
    <xf numFmtId="0" fontId="2" fillId="3" borderId="52" xfId="2" applyBorder="1" applyAlignment="1">
      <alignment horizontal="center" vertical="center"/>
    </xf>
    <xf numFmtId="168" fontId="2" fillId="3" borderId="39" xfId="2" applyNumberFormat="1" applyBorder="1" applyAlignment="1">
      <alignment horizontal="center" vertical="center"/>
    </xf>
    <xf numFmtId="14" fontId="0" fillId="0" borderId="38" xfId="0" applyNumberFormat="1" applyBorder="1" applyAlignment="1">
      <alignment horizontal="center" vertical="center" wrapText="1"/>
    </xf>
    <xf numFmtId="0" fontId="0" fillId="0" borderId="34" xfId="0" applyBorder="1" applyAlignment="1">
      <alignment horizontal="center" wrapText="1"/>
    </xf>
    <xf numFmtId="0" fontId="20" fillId="8" borderId="0" xfId="0" applyFont="1" applyFill="1"/>
    <xf numFmtId="0" fontId="21" fillId="6" borderId="0" xfId="3" applyFont="1" applyBorder="1" applyAlignment="1"/>
    <xf numFmtId="0" fontId="9" fillId="0" borderId="16" xfId="4" applyBorder="1" applyAlignment="1">
      <alignment horizontal="center" vertical="center"/>
    </xf>
    <xf numFmtId="2" fontId="2" fillId="3" borderId="23" xfId="2" applyNumberFormat="1" applyBorder="1" applyAlignment="1">
      <alignment horizontal="center" vertical="center"/>
    </xf>
    <xf numFmtId="2" fontId="18" fillId="2" borderId="49" xfId="1" applyNumberFormat="1" applyFont="1" applyBorder="1"/>
    <xf numFmtId="14" fontId="0" fillId="0" borderId="0" xfId="0" applyNumberFormat="1"/>
    <xf numFmtId="0" fontId="0" fillId="0" borderId="38" xfId="0" applyBorder="1" applyAlignment="1">
      <alignment horizontal="center" vertical="center"/>
    </xf>
    <xf numFmtId="14" fontId="0" fillId="0" borderId="38" xfId="0" applyNumberFormat="1" applyBorder="1" applyAlignment="1">
      <alignment horizontal="center" vertical="center" wrapText="1"/>
    </xf>
    <xf numFmtId="0" fontId="0" fillId="11" borderId="54" xfId="0" applyFill="1" applyBorder="1" applyAlignment="1">
      <alignment horizontal="center" vertical="center" wrapText="1"/>
    </xf>
    <xf numFmtId="0" fontId="0" fillId="11" borderId="0" xfId="0" applyFill="1" applyBorder="1" applyAlignment="1">
      <alignment horizontal="center" vertical="center" wrapText="1"/>
    </xf>
    <xf numFmtId="0" fontId="0" fillId="11" borderId="55" xfId="0" applyFill="1" applyBorder="1" applyAlignment="1">
      <alignment horizontal="center" vertical="center" wrapText="1"/>
    </xf>
    <xf numFmtId="0" fontId="0" fillId="11" borderId="56" xfId="0" applyFill="1" applyBorder="1" applyAlignment="1">
      <alignment horizontal="center" vertical="center" wrapText="1"/>
    </xf>
    <xf numFmtId="0" fontId="0" fillId="11" borderId="57" xfId="0" applyFill="1" applyBorder="1" applyAlignment="1">
      <alignment horizontal="center" vertical="center" wrapText="1"/>
    </xf>
    <xf numFmtId="0" fontId="0" fillId="11" borderId="58" xfId="0" applyFill="1" applyBorder="1" applyAlignment="1">
      <alignment horizontal="center" vertical="center" wrapText="1"/>
    </xf>
    <xf numFmtId="0" fontId="3" fillId="11" borderId="40" xfId="0" applyFont="1" applyFill="1" applyBorder="1" applyAlignment="1">
      <alignment horizontal="center" vertical="center" wrapText="1"/>
    </xf>
    <xf numFmtId="0" fontId="3" fillId="11" borderId="16" xfId="0" applyFont="1" applyFill="1" applyBorder="1" applyAlignment="1">
      <alignment horizontal="center" vertical="center" wrapText="1"/>
    </xf>
    <xf numFmtId="0" fontId="3" fillId="11" borderId="53" xfId="0" applyFont="1" applyFill="1" applyBorder="1" applyAlignment="1">
      <alignment horizontal="center" vertical="center" wrapText="1"/>
    </xf>
    <xf numFmtId="0" fontId="17" fillId="0" borderId="59" xfId="0" applyFont="1" applyBorder="1"/>
    <xf numFmtId="0" fontId="17" fillId="0" borderId="40" xfId="0" applyFont="1" applyBorder="1"/>
    <xf numFmtId="0" fontId="17" fillId="0" borderId="7" xfId="0" applyFont="1" applyBorder="1"/>
    <xf numFmtId="0" fontId="17" fillId="0" borderId="8" xfId="0" applyFont="1" applyBorder="1"/>
    <xf numFmtId="0" fontId="0" fillId="0" borderId="9" xfId="0" applyBorder="1"/>
    <xf numFmtId="0" fontId="2" fillId="3" borderId="23" xfId="2" applyBorder="1" applyAlignment="1">
      <alignment horizontal="center" vertical="center" wrapText="1"/>
    </xf>
    <xf numFmtId="0" fontId="9" fillId="0" borderId="0" xfId="4" applyAlignment="1">
      <alignment horizontal="center" vertical="center"/>
    </xf>
    <xf numFmtId="0" fontId="12" fillId="6" borderId="33" xfId="3" applyFont="1" applyBorder="1" applyAlignment="1">
      <alignment vertical="center"/>
    </xf>
    <xf numFmtId="0" fontId="12" fillId="6" borderId="34" xfId="3" applyFont="1" applyBorder="1" applyAlignment="1">
      <alignment vertical="center"/>
    </xf>
    <xf numFmtId="0" fontId="12" fillId="6" borderId="35" xfId="3" applyFont="1" applyBorder="1" applyAlignment="1">
      <alignment vertical="center"/>
    </xf>
    <xf numFmtId="0" fontId="12" fillId="6" borderId="36" xfId="3" applyFont="1" applyBorder="1" applyAlignment="1">
      <alignment vertical="center"/>
    </xf>
    <xf numFmtId="0" fontId="14" fillId="8" borderId="0" xfId="0" applyFont="1" applyFill="1"/>
    <xf numFmtId="0" fontId="1" fillId="2" borderId="20" xfId="1" applyBorder="1" applyAlignment="1">
      <alignment horizontal="center" vertical="center" wrapText="1"/>
    </xf>
    <xf numFmtId="2" fontId="0" fillId="0" borderId="0" xfId="0" applyNumberFormat="1"/>
    <xf numFmtId="0" fontId="13" fillId="6" borderId="40" xfId="3" applyFont="1" applyBorder="1" applyAlignment="1">
      <alignment horizontal="center" vertical="center"/>
    </xf>
    <xf numFmtId="0" fontId="13" fillId="6" borderId="21" xfId="3" applyFont="1" applyBorder="1" applyAlignment="1">
      <alignment horizontal="center" vertical="center"/>
    </xf>
    <xf numFmtId="0" fontId="6" fillId="4" borderId="31" xfId="0" applyFont="1" applyFill="1" applyBorder="1" applyAlignment="1">
      <alignment horizontal="left" vertical="center"/>
    </xf>
    <xf numFmtId="0" fontId="6" fillId="4" borderId="0" xfId="0" applyFont="1" applyFill="1" applyAlignment="1">
      <alignment horizontal="left" vertical="center"/>
    </xf>
    <xf numFmtId="0" fontId="0" fillId="6" borderId="15" xfId="3" applyFont="1" applyAlignment="1">
      <alignment horizontal="center" wrapText="1"/>
    </xf>
    <xf numFmtId="0" fontId="0" fillId="6" borderId="19" xfId="3" applyFont="1" applyBorder="1" applyAlignment="1">
      <alignment horizontal="center" vertical="center" wrapText="1"/>
    </xf>
    <xf numFmtId="0" fontId="0" fillId="6" borderId="0" xfId="3" applyFont="1" applyBorder="1" applyAlignment="1">
      <alignment horizontal="center" vertical="center" wrapText="1"/>
    </xf>
    <xf numFmtId="0" fontId="12" fillId="6" borderId="35" xfId="3" applyFont="1" applyBorder="1" applyAlignment="1">
      <alignment horizontal="left" vertical="top"/>
    </xf>
    <xf numFmtId="0" fontId="12" fillId="6" borderId="36" xfId="3" applyFont="1" applyBorder="1" applyAlignment="1">
      <alignment horizontal="left" vertical="top"/>
    </xf>
    <xf numFmtId="0" fontId="12" fillId="6" borderId="30" xfId="3" applyFont="1" applyBorder="1" applyAlignment="1">
      <alignment horizontal="left" vertical="center"/>
    </xf>
    <xf numFmtId="0" fontId="12" fillId="6" borderId="32" xfId="3" applyFont="1" applyBorder="1" applyAlignment="1">
      <alignment horizontal="left" vertical="center"/>
    </xf>
    <xf numFmtId="0" fontId="12" fillId="6" borderId="33" xfId="3" applyFont="1" applyBorder="1" applyAlignment="1">
      <alignment horizontal="left" vertical="center"/>
    </xf>
    <xf numFmtId="0" fontId="12" fillId="6" borderId="34" xfId="3" applyFont="1" applyBorder="1" applyAlignment="1">
      <alignment horizontal="left" vertical="center"/>
    </xf>
    <xf numFmtId="0" fontId="15" fillId="6" borderId="45" xfId="3" applyFont="1" applyBorder="1" applyAlignment="1">
      <alignment horizontal="center"/>
    </xf>
    <xf numFmtId="0" fontId="0" fillId="6" borderId="46" xfId="3" applyFont="1" applyBorder="1" applyAlignment="1">
      <alignment horizontal="center"/>
    </xf>
    <xf numFmtId="0" fontId="0" fillId="0" borderId="38" xfId="0" applyBorder="1" applyAlignment="1">
      <alignment horizontal="center" wrapText="1"/>
    </xf>
    <xf numFmtId="0" fontId="0" fillId="0" borderId="38" xfId="0" applyBorder="1" applyAlignment="1">
      <alignment horizontal="center" vertical="center"/>
    </xf>
    <xf numFmtId="14" fontId="0" fillId="0" borderId="38" xfId="0" applyNumberFormat="1" applyBorder="1" applyAlignment="1">
      <alignment horizontal="center" vertical="center"/>
    </xf>
    <xf numFmtId="14" fontId="0" fillId="0" borderId="38" xfId="0" applyNumberFormat="1" applyBorder="1" applyAlignment="1">
      <alignment horizontal="center" vertical="center" wrapText="1"/>
    </xf>
    <xf numFmtId="0" fontId="6" fillId="10" borderId="0" xfId="0" applyFont="1" applyFill="1" applyAlignment="1">
      <alignment horizontal="center"/>
    </xf>
    <xf numFmtId="0" fontId="7" fillId="0" borderId="30" xfId="0" applyFont="1" applyBorder="1" applyAlignment="1">
      <alignment horizontal="center"/>
    </xf>
    <xf numFmtId="0" fontId="7" fillId="0" borderId="31" xfId="0" applyFont="1" applyBorder="1" applyAlignment="1">
      <alignment horizontal="center"/>
    </xf>
    <xf numFmtId="0" fontId="7" fillId="0" borderId="32" xfId="0" applyFont="1" applyBorder="1" applyAlignment="1">
      <alignment horizontal="center"/>
    </xf>
  </cellXfs>
  <cellStyles count="7">
    <cellStyle name="Calculation" xfId="6" builtinId="22"/>
    <cellStyle name="Currency" xfId="5" builtinId="4"/>
    <cellStyle name="Hyperlink" xfId="4" builtinId="8"/>
    <cellStyle name="Input" xfId="1" builtinId="20"/>
    <cellStyle name="Normal" xfId="0" builtinId="0"/>
    <cellStyle name="Note" xfId="3" builtinId="10"/>
    <cellStyle name="Output" xfId="2" builtinId="21"/>
  </cellStyles>
  <dxfs count="0"/>
  <tableStyles count="1" defaultTableStyle="TableStyleMedium2" defaultPivotStyle="PivotStyleLight16">
    <tableStyle name="Invisible" pivot="0" table="0" count="0" xr9:uid="{FFADAC7C-B7C3-4696-9D52-05399A5A4B1B}"/>
  </tableStyles>
  <colors>
    <mruColors>
      <color rgb="FFACB9C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9</xdr:row>
          <xdr:rowOff>142875</xdr:rowOff>
        </xdr:from>
        <xdr:to>
          <xdr:col>4</xdr:col>
          <xdr:colOff>495300</xdr:colOff>
          <xdr:row>11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20</xdr:row>
          <xdr:rowOff>76200</xdr:rowOff>
        </xdr:from>
        <xdr:to>
          <xdr:col>5</xdr:col>
          <xdr:colOff>276225</xdr:colOff>
          <xdr:row>22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304800</xdr:colOff>
          <xdr:row>20</xdr:row>
          <xdr:rowOff>76200</xdr:rowOff>
        </xdr:from>
        <xdr:to>
          <xdr:col>6</xdr:col>
          <xdr:colOff>828675</xdr:colOff>
          <xdr:row>22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142875</xdr:colOff>
          <xdr:row>11</xdr:row>
          <xdr:rowOff>190500</xdr:rowOff>
        </xdr:from>
        <xdr:to>
          <xdr:col>4</xdr:col>
          <xdr:colOff>523875</xdr:colOff>
          <xdr:row>13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1438275</xdr:colOff>
          <xdr:row>29</xdr:row>
          <xdr:rowOff>152400</xdr:rowOff>
        </xdr:from>
        <xdr:to>
          <xdr:col>3</xdr:col>
          <xdr:colOff>657225</xdr:colOff>
          <xdr:row>31</xdr:row>
          <xdr:rowOff>85725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29</xdr:row>
          <xdr:rowOff>152400</xdr:rowOff>
        </xdr:from>
        <xdr:to>
          <xdr:col>5</xdr:col>
          <xdr:colOff>257175</xdr:colOff>
          <xdr:row>31</xdr:row>
          <xdr:rowOff>85725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1438275</xdr:colOff>
          <xdr:row>38</xdr:row>
          <xdr:rowOff>152400</xdr:rowOff>
        </xdr:from>
        <xdr:to>
          <xdr:col>3</xdr:col>
          <xdr:colOff>657225</xdr:colOff>
          <xdr:row>40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38</xdr:row>
          <xdr:rowOff>152400</xdr:rowOff>
        </xdr:from>
        <xdr:to>
          <xdr:col>5</xdr:col>
          <xdr:colOff>257175</xdr:colOff>
          <xdr:row>40</xdr:row>
          <xdr:rowOff>85725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228600</xdr:colOff>
          <xdr:row>6</xdr:row>
          <xdr:rowOff>0</xdr:rowOff>
        </xdr:from>
        <xdr:to>
          <xdr:col>15</xdr:col>
          <xdr:colOff>1143000</xdr:colOff>
          <xdr:row>8</xdr:row>
          <xdr:rowOff>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1209675</xdr:colOff>
          <xdr:row>5</xdr:row>
          <xdr:rowOff>190500</xdr:rowOff>
        </xdr:from>
        <xdr:to>
          <xdr:col>15</xdr:col>
          <xdr:colOff>2095500</xdr:colOff>
          <xdr:row>7</xdr:row>
          <xdr:rowOff>180975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276225</xdr:colOff>
          <xdr:row>12</xdr:row>
          <xdr:rowOff>161925</xdr:rowOff>
        </xdr:from>
        <xdr:to>
          <xdr:col>19</xdr:col>
          <xdr:colOff>542925</xdr:colOff>
          <xdr:row>14</xdr:row>
          <xdr:rowOff>123825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276225</xdr:colOff>
          <xdr:row>14</xdr:row>
          <xdr:rowOff>152400</xdr:rowOff>
        </xdr:from>
        <xdr:to>
          <xdr:col>19</xdr:col>
          <xdr:colOff>533400</xdr:colOff>
          <xdr:row>15</xdr:row>
          <xdr:rowOff>152400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581025</xdr:colOff>
          <xdr:row>6</xdr:row>
          <xdr:rowOff>85725</xdr:rowOff>
        </xdr:from>
        <xdr:to>
          <xdr:col>6</xdr:col>
          <xdr:colOff>866775</xdr:colOff>
          <xdr:row>7</xdr:row>
          <xdr:rowOff>142875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390525</xdr:colOff>
          <xdr:row>9</xdr:row>
          <xdr:rowOff>104775</xdr:rowOff>
        </xdr:from>
        <xdr:to>
          <xdr:col>14</xdr:col>
          <xdr:colOff>180975</xdr:colOff>
          <xdr:row>11</xdr:row>
          <xdr:rowOff>114300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Drawing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and BOM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381000</xdr:colOff>
          <xdr:row>11</xdr:row>
          <xdr:rowOff>180975</xdr:rowOff>
        </xdr:from>
        <xdr:to>
          <xdr:col>14</xdr:col>
          <xdr:colOff>180975</xdr:colOff>
          <xdr:row>13</xdr:row>
          <xdr:rowOff>66675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381000</xdr:colOff>
          <xdr:row>13</xdr:row>
          <xdr:rowOff>180975</xdr:rowOff>
        </xdr:from>
        <xdr:to>
          <xdr:col>14</xdr:col>
          <xdr:colOff>180975</xdr:colOff>
          <xdr:row>15</xdr:row>
          <xdr:rowOff>66675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1438275</xdr:colOff>
          <xdr:row>48</xdr:row>
          <xdr:rowOff>152400</xdr:rowOff>
        </xdr:from>
        <xdr:to>
          <xdr:col>3</xdr:col>
          <xdr:colOff>657225</xdr:colOff>
          <xdr:row>50</xdr:row>
          <xdr:rowOff>85725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48</xdr:row>
          <xdr:rowOff>152400</xdr:rowOff>
        </xdr:from>
        <xdr:to>
          <xdr:col>5</xdr:col>
          <xdr:colOff>257175</xdr:colOff>
          <xdr:row>50</xdr:row>
          <xdr:rowOff>85725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9</xdr:row>
          <xdr:rowOff>180975</xdr:rowOff>
        </xdr:from>
        <xdr:to>
          <xdr:col>7</xdr:col>
          <xdr:colOff>152400</xdr:colOff>
          <xdr:row>11</xdr:row>
          <xdr:rowOff>342900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247650</xdr:colOff>
          <xdr:row>56</xdr:row>
          <xdr:rowOff>0</xdr:rowOff>
        </xdr:from>
        <xdr:to>
          <xdr:col>6</xdr:col>
          <xdr:colOff>590550</xdr:colOff>
          <xdr:row>56</xdr:row>
          <xdr:rowOff>323850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247650</xdr:colOff>
          <xdr:row>56</xdr:row>
          <xdr:rowOff>371475</xdr:rowOff>
        </xdr:from>
        <xdr:to>
          <xdr:col>6</xdr:col>
          <xdr:colOff>590550</xdr:colOff>
          <xdr:row>58</xdr:row>
          <xdr:rowOff>95250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15</xdr:row>
          <xdr:rowOff>200025</xdr:rowOff>
        </xdr:from>
        <xdr:to>
          <xdr:col>14</xdr:col>
          <xdr:colOff>209550</xdr:colOff>
          <xdr:row>17</xdr:row>
          <xdr:rowOff>85725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Item in FULCRUM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359833</xdr:colOff>
      <xdr:row>17</xdr:row>
      <xdr:rowOff>126999</xdr:rowOff>
    </xdr:from>
    <xdr:to>
      <xdr:col>14</xdr:col>
      <xdr:colOff>317500</xdr:colOff>
      <xdr:row>24</xdr:row>
      <xdr:rowOff>63499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0907283-0A49-90FC-0B00-A604F2DC45C4}"/>
            </a:ext>
          </a:extLst>
        </xdr:cNvPr>
        <xdr:cNvSpPr txBox="1"/>
      </xdr:nvSpPr>
      <xdr:spPr>
        <a:xfrm>
          <a:off x="14668500" y="4487332"/>
          <a:ext cx="1587500" cy="1322917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>
              <a:solidFill>
                <a:srgbClr val="FF0000"/>
              </a:solidFill>
            </a:rPr>
            <a:t>ALWAYS HAVE</a:t>
          </a:r>
          <a:r>
            <a:rPr lang="en-US" sz="1100" baseline="0">
              <a:solidFill>
                <a:srgbClr val="FF0000"/>
              </a:solidFill>
            </a:rPr>
            <a:t> QUANTITY SET TO 1 (or leave it empty) BEFORE CREATING AN ITEM</a:t>
          </a:r>
        </a:p>
        <a:p>
          <a:pPr algn="ctr"/>
          <a:endParaRPr lang="en-US" sz="1100" baseline="0">
            <a:solidFill>
              <a:srgbClr val="FF0000"/>
            </a:solidFill>
          </a:endParaRPr>
        </a:p>
        <a:p>
          <a:pPr algn="ctr"/>
          <a:r>
            <a:rPr lang="en-US" sz="1100">
              <a:solidFill>
                <a:srgbClr val="FF0000"/>
              </a:solidFill>
            </a:rPr>
            <a:t>DO NOT</a:t>
          </a:r>
          <a:r>
            <a:rPr lang="en-US" sz="1100" baseline="0">
              <a:solidFill>
                <a:srgbClr val="FF0000"/>
              </a:solidFill>
            </a:rPr>
            <a:t> USE FOR SWAGELOK</a:t>
          </a:r>
          <a:endParaRPr lang="en-US" sz="1100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file:///\\CONCEPTSERVER\Production\Engineering\Jobs\INSULON%20HOSE\0.75in%20INSULON%20Hose\HP%20MLI\12HPMLI-XXX-XX.pdf" TargetMode="External"/><Relationship Id="rId13" Type="http://schemas.openxmlformats.org/officeDocument/2006/relationships/hyperlink" Target="file:///\\CONCEPTSERVER\Production\Engineering\Jobs\INSULON%20HOSE\0.25in%20INSULON%20Hose\HP\04HPSTD-XXX-XX.pdf" TargetMode="External"/><Relationship Id="rId18" Type="http://schemas.openxmlformats.org/officeDocument/2006/relationships/hyperlink" Target="file:///\\CONCEPTSERVER\Production\Engineering\Jobs\INSULON%20HOSE\0.25in%20INSULON%20Hose\LP%20MLI\04LPMLI-XXX-XX%20Rev%20A.pdf" TargetMode="External"/><Relationship Id="rId3" Type="http://schemas.openxmlformats.org/officeDocument/2006/relationships/hyperlink" Target="file:///\\CONCEPTSERVER\Production\Engineering\Jobs\INSULON%20HOSE\0.5in%20INSULON%20Hose\LP%20MLI\08LPMLI-XXX-XX.pdf" TargetMode="External"/><Relationship Id="rId7" Type="http://schemas.openxmlformats.org/officeDocument/2006/relationships/hyperlink" Target="file:///\\CONCEPTSERVER\Production\Engineering\Jobs\INSULON%20HOSE\0.75in%20INSULON%20Hose\LP%20MLI\12LPMLI-XXX-XX.pdf" TargetMode="External"/><Relationship Id="rId12" Type="http://schemas.openxmlformats.org/officeDocument/2006/relationships/hyperlink" Target="file:///\\conceptserver\Production\Engineering\Jobs\INSULON%20HOSE\1in%20INSULON%20Hose\HP%20MLI\16HPMLI-XXX-XX.pdf" TargetMode="External"/><Relationship Id="rId17" Type="http://schemas.openxmlformats.org/officeDocument/2006/relationships/hyperlink" Target="file:///\\CONCEPTSERVER\Production\Engineering\Jobs\INSULON%20HOSE\0.375in%20INSULON%20Hose\HP%20MLI\06HPMLI-XXX-XX.pdf" TargetMode="External"/><Relationship Id="rId2" Type="http://schemas.openxmlformats.org/officeDocument/2006/relationships/hyperlink" Target="file:///\\CONCEPTSERVER\Production\Engineering\Jobs\INSULON%20HOSE\0.5in%20INSULON%20Hose\HP\08HPSTD-XXX-XX.pdf" TargetMode="External"/><Relationship Id="rId16" Type="http://schemas.openxmlformats.org/officeDocument/2006/relationships/hyperlink" Target="file:///\\CONCEPTSERVER\Production\Engineering\Jobs\INSULON%20HOSE\0.375in%20INSULON%20Hose\LP%20MLI\06LPMLI-XXX-XX.pdf" TargetMode="External"/><Relationship Id="rId20" Type="http://schemas.openxmlformats.org/officeDocument/2006/relationships/hyperlink" Target="file:///\\conceptserver\Production\Engineering\Jobs\INSULON%20HOSE\0.25in%20INSULON%20Hose\LP\04LPSTD-XXX-XX.pdf" TargetMode="External"/><Relationship Id="rId1" Type="http://schemas.openxmlformats.org/officeDocument/2006/relationships/hyperlink" Target="file:///\\CONCEPTSERVER\Production\Engineering\Jobs\INSULON%20HOSE\0.5in%20INSULON%20Hose\LP\08LPSTD-XXX-XX.pdf" TargetMode="External"/><Relationship Id="rId6" Type="http://schemas.openxmlformats.org/officeDocument/2006/relationships/hyperlink" Target="file:///\\CONCEPTSERVER\Production\Engineering\Jobs\INSULON%20HOSE\0.75in%20INSULON%20Hose\HP\12HPSTD-XXX-XX.pdf" TargetMode="External"/><Relationship Id="rId11" Type="http://schemas.openxmlformats.org/officeDocument/2006/relationships/hyperlink" Target="file:///\\CONCEPTSERVER\Production\Engineering\Jobs\INSULON%20HOSE\1in%20INSULON%20Hose\LP%20MLI\16LPMLI-XXX-XX.pdf" TargetMode="External"/><Relationship Id="rId5" Type="http://schemas.openxmlformats.org/officeDocument/2006/relationships/hyperlink" Target="file:///\\CONCEPTSERVER\Production\Engineering\Jobs\INSULON%20HOSE\0.75in%20INSULON%20Hose\LP\12LPSTD-XXX-XX.pdf" TargetMode="External"/><Relationship Id="rId15" Type="http://schemas.openxmlformats.org/officeDocument/2006/relationships/hyperlink" Target="file:///\\CONCEPTSERVER\Production\Engineering\Jobs\INSULON%20HOSE\0.375in%20INSULON%20Hose\HP\06HPSTD-XXX-XX.pdf" TargetMode="External"/><Relationship Id="rId10" Type="http://schemas.openxmlformats.org/officeDocument/2006/relationships/hyperlink" Target="file:///\\CONCEPTSERVER\Production\Engineering\Jobs\INSULON%20HOSE\1in%20INSULON%20Hose\HP\16HPSTD-XXX-XX.pdf" TargetMode="External"/><Relationship Id="rId19" Type="http://schemas.openxmlformats.org/officeDocument/2006/relationships/hyperlink" Target="file:///\\CONCEPTSERVER\Production\Engineering\Jobs\INSULON%20HOSE\0.25in%20INSULON%20Hose\HP%20MLI\04HPMLI-XXX-XX%20Rev%20A.pdf" TargetMode="External"/><Relationship Id="rId4" Type="http://schemas.openxmlformats.org/officeDocument/2006/relationships/hyperlink" Target="file:///\\CONCEPTSERVER\Production\Engineering\Jobs\INSULON%20HOSE\0.5in%20INSULON%20Hose\HP%20MLI\08HPMLI-XXX-XX.pdf" TargetMode="External"/><Relationship Id="rId9" Type="http://schemas.openxmlformats.org/officeDocument/2006/relationships/hyperlink" Target="file:///\\CONCEPTSERVER\Production\Engineering\Jobs\INSULON%20HOSE\1in%20INSULON%20Hose\LP\16LPSTD-XXX-XX.pdf" TargetMode="External"/><Relationship Id="rId14" Type="http://schemas.openxmlformats.org/officeDocument/2006/relationships/hyperlink" Target="file:///\\CONCEPTSERVER\Production\Engineering\Jobs\INSULON%20HOSE\0.375in%20INSULON%20Hose\LP\06LPSTD-XXX-XX.pdf" TargetMode="Externa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Production%20Drawings/0.75in%20INSULON%20Hose/HP/12HPSTD-XXX-XX.pdf" TargetMode="External"/><Relationship Id="rId13" Type="http://schemas.openxmlformats.org/officeDocument/2006/relationships/hyperlink" Target="Production%20Drawings/1in%20INSULON%20Hose/LP%20MLI/16LPMLI-XXX-XX.pdf" TargetMode="External"/><Relationship Id="rId3" Type="http://schemas.openxmlformats.org/officeDocument/2006/relationships/hyperlink" Target="Production%20Drawings/0.5in%20INSULON%20Hose/LP/08LPSTD-XXX-XX.pdf" TargetMode="External"/><Relationship Id="rId7" Type="http://schemas.openxmlformats.org/officeDocument/2006/relationships/hyperlink" Target="Production%20Drawings/0.75in%20INSULON%20Hose/LP/12LPSTD-XXX-XX.pdf" TargetMode="External"/><Relationship Id="rId12" Type="http://schemas.openxmlformats.org/officeDocument/2006/relationships/hyperlink" Target="Production%20Drawings/1in%20INSULON%20Hose/HP/16HPSTD-XXX-XX.pdf" TargetMode="External"/><Relationship Id="rId2" Type="http://schemas.openxmlformats.org/officeDocument/2006/relationships/hyperlink" Target="Production%20Drawings/0.25in%20INSULON%20Hose/HP/04HPSTD-XXX-XX.pdf" TargetMode="External"/><Relationship Id="rId1" Type="http://schemas.openxmlformats.org/officeDocument/2006/relationships/hyperlink" Target="Production%20Drawings/0.25in%20INSULON%20Hose/LP/04LPSTD-XXX-XX.pdf" TargetMode="External"/><Relationship Id="rId6" Type="http://schemas.openxmlformats.org/officeDocument/2006/relationships/hyperlink" Target="Production%20Drawings/0.5in%20INSULON%20Hose/HP%20MLI/08HPMLI-XXX-XX.pdf" TargetMode="External"/><Relationship Id="rId11" Type="http://schemas.openxmlformats.org/officeDocument/2006/relationships/hyperlink" Target="Production%20Drawings/1in%20INSULON%20Hose/LP/16LPSTD-XXX-XX.pdf" TargetMode="External"/><Relationship Id="rId5" Type="http://schemas.openxmlformats.org/officeDocument/2006/relationships/hyperlink" Target="Production%20Drawings/0.5in%20INSULON%20Hose/LP%20MLI/08LPMLI-XXX-XX.pdf" TargetMode="External"/><Relationship Id="rId10" Type="http://schemas.openxmlformats.org/officeDocument/2006/relationships/hyperlink" Target="Production%20Drawings/0.75in%20INSULON%20Hose/HP%20MLI/12HPMLI-XXX-XX.pdf" TargetMode="External"/><Relationship Id="rId4" Type="http://schemas.openxmlformats.org/officeDocument/2006/relationships/hyperlink" Target="Production%20Drawings/0.5in%20INSULON%20Hose/HP/08HPSTD-XXX-XX.pdf" TargetMode="External"/><Relationship Id="rId9" Type="http://schemas.openxmlformats.org/officeDocument/2006/relationships/hyperlink" Target="Production%20Drawings/0.75in%20INSULON%20Hose/LP%20MLI/12LPMLI-XXX-XX.pdf" TargetMode="External"/><Relationship Id="rId14" Type="http://schemas.openxmlformats.org/officeDocument/2006/relationships/hyperlink" Target="Production%20Drawings/1in%20INSULON%20Hose/HP%20MLI/16HPMLI-XXX-XX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04484-CA27-4703-9CAC-73DBDA098448}">
  <sheetPr codeName="Sheet1"/>
  <dimension ref="A1:Y382"/>
  <sheetViews>
    <sheetView tabSelected="1" zoomScale="80" zoomScaleNormal="80" workbookViewId="0">
      <selection activeCell="K23" sqref="K23"/>
    </sheetView>
  </sheetViews>
  <sheetFormatPr defaultColWidth="9.140625" defaultRowHeight="15" x14ac:dyDescent="0.25"/>
  <cols>
    <col min="1" max="1" width="9.140625" style="25"/>
    <col min="2" max="2" width="23.28515625" style="25" customWidth="1"/>
    <col min="3" max="3" width="26" style="25" customWidth="1"/>
    <col min="4" max="4" width="10.140625" style="25" customWidth="1"/>
    <col min="5" max="5" width="16.28515625" style="25" customWidth="1"/>
    <col min="6" max="6" width="9.140625" style="25"/>
    <col min="7" max="7" width="13" style="25" customWidth="1"/>
    <col min="8" max="8" width="9.140625" style="25"/>
    <col min="9" max="9" width="4.42578125" style="25" bestFit="1" customWidth="1"/>
    <col min="10" max="10" width="22.7109375" style="25" customWidth="1"/>
    <col min="11" max="11" width="38.140625" style="25" bestFit="1" customWidth="1"/>
    <col min="12" max="12" width="17.85546875" style="25" customWidth="1"/>
    <col min="13" max="13" width="14.85546875" style="25" customWidth="1"/>
    <col min="14" max="14" width="24.42578125" style="25" customWidth="1"/>
    <col min="15" max="15" width="25.28515625" style="25" customWidth="1"/>
    <col min="16" max="16" width="31.7109375" style="25" customWidth="1"/>
    <col min="17" max="17" width="1.7109375" style="25" customWidth="1"/>
    <col min="18" max="18" width="26" style="25" customWidth="1"/>
    <col min="19" max="19" width="9.140625" style="25"/>
    <col min="20" max="20" width="14.42578125" style="25" customWidth="1"/>
    <col min="21" max="21" width="12.42578125" style="25" customWidth="1"/>
    <col min="22" max="22" width="26.7109375" style="25" customWidth="1"/>
    <col min="23" max="23" width="25" style="25" customWidth="1"/>
    <col min="24" max="24" width="31.42578125" style="25" customWidth="1"/>
    <col min="25" max="25" width="6.7109375" style="25" bestFit="1" customWidth="1"/>
    <col min="26" max="16384" width="9.140625" style="25"/>
  </cols>
  <sheetData>
    <row r="1" spans="1:25" ht="15" customHeight="1" x14ac:dyDescent="0.25">
      <c r="A1" s="125" t="s">
        <v>429</v>
      </c>
      <c r="J1" s="158" t="s">
        <v>0</v>
      </c>
      <c r="K1" s="158"/>
      <c r="L1" s="158"/>
      <c r="M1" s="158"/>
    </row>
    <row r="2" spans="1:25" ht="27" thickBot="1" x14ac:dyDescent="0.45">
      <c r="B2" s="3" t="s">
        <v>312</v>
      </c>
      <c r="C2" s="4"/>
      <c r="D2" s="5"/>
      <c r="E2" s="5"/>
      <c r="J2" s="159"/>
      <c r="K2" s="159"/>
      <c r="L2" s="159"/>
      <c r="M2" s="159"/>
    </row>
    <row r="3" spans="1:25" ht="15.75" thickBot="1" x14ac:dyDescent="0.3">
      <c r="G3" s="31" t="s">
        <v>1</v>
      </c>
      <c r="H3" s="27" t="s">
        <v>2</v>
      </c>
      <c r="J3" s="159"/>
      <c r="K3" s="159"/>
      <c r="L3" s="159"/>
      <c r="M3" s="159"/>
      <c r="N3" s="106"/>
    </row>
    <row r="4" spans="1:25" ht="15.75" thickBot="1" x14ac:dyDescent="0.3">
      <c r="E4" s="40" t="s">
        <v>3</v>
      </c>
      <c r="F4" s="41"/>
      <c r="G4" s="48"/>
      <c r="H4" s="49">
        <f>G4*12</f>
        <v>0</v>
      </c>
      <c r="J4" s="31" t="s">
        <v>4</v>
      </c>
      <c r="K4" s="32" t="s">
        <v>5</v>
      </c>
      <c r="L4" s="33" t="s">
        <v>6</v>
      </c>
      <c r="M4" s="32" t="s">
        <v>7</v>
      </c>
      <c r="N4" s="32" t="s">
        <v>8</v>
      </c>
      <c r="O4" s="34" t="s">
        <v>9</v>
      </c>
      <c r="P4" s="34" t="s">
        <v>10</v>
      </c>
      <c r="Y4" s="105"/>
    </row>
    <row r="5" spans="1:25" ht="30.75" thickBot="1" x14ac:dyDescent="0.3">
      <c r="B5" s="26" t="s">
        <v>11</v>
      </c>
      <c r="C5" s="154"/>
      <c r="G5" s="31" t="s">
        <v>12</v>
      </c>
      <c r="H5" s="27" t="s">
        <v>2</v>
      </c>
      <c r="J5" s="85"/>
      <c r="K5" s="86"/>
      <c r="L5" s="87"/>
      <c r="M5" s="88"/>
      <c r="N5" s="86"/>
      <c r="O5" s="87"/>
      <c r="P5" s="89"/>
      <c r="Y5" s="153" t="s">
        <v>158</v>
      </c>
    </row>
    <row r="6" spans="1:25" ht="15.75" thickBot="1" x14ac:dyDescent="0.3">
      <c r="C6" s="126" t="s">
        <v>14</v>
      </c>
      <c r="E6" s="161" t="s">
        <v>15</v>
      </c>
      <c r="F6" s="162"/>
      <c r="G6" s="50"/>
      <c r="H6" s="51">
        <f>G6*39.3701</f>
        <v>0</v>
      </c>
      <c r="J6" s="158" t="s">
        <v>16</v>
      </c>
      <c r="K6" s="158"/>
      <c r="L6" s="158"/>
      <c r="M6" s="158"/>
      <c r="Y6" s="105">
        <v>0.5</v>
      </c>
    </row>
    <row r="7" spans="1:25" ht="15" customHeight="1" x14ac:dyDescent="0.25">
      <c r="B7" s="28" t="s">
        <v>17</v>
      </c>
      <c r="C7" s="46"/>
      <c r="J7" s="159"/>
      <c r="K7" s="159"/>
      <c r="L7" s="159"/>
      <c r="M7" s="159"/>
      <c r="Y7" s="105">
        <v>100</v>
      </c>
    </row>
    <row r="8" spans="1:25" ht="15.75" customHeight="1" thickBot="1" x14ac:dyDescent="0.3">
      <c r="B8" s="29" t="s">
        <v>18</v>
      </c>
      <c r="C8" s="47"/>
      <c r="J8" s="159"/>
      <c r="K8" s="159"/>
      <c r="L8" s="159"/>
      <c r="M8" s="159"/>
    </row>
    <row r="9" spans="1:25" ht="15.75" thickBot="1" x14ac:dyDescent="0.3">
      <c r="B9" s="29" t="s">
        <v>7</v>
      </c>
      <c r="C9" s="128"/>
      <c r="J9" s="27" t="s">
        <v>10</v>
      </c>
      <c r="K9" s="90"/>
      <c r="L9" s="169" t="s">
        <v>14</v>
      </c>
      <c r="M9" s="170"/>
    </row>
    <row r="10" spans="1:25" ht="15.75" thickBot="1" x14ac:dyDescent="0.3">
      <c r="B10" s="29" t="s">
        <v>19</v>
      </c>
      <c r="C10" s="47"/>
      <c r="I10" s="30"/>
      <c r="J10" s="27" t="s">
        <v>20</v>
      </c>
      <c r="K10" s="42"/>
      <c r="L10" s="45" t="s">
        <v>21</v>
      </c>
    </row>
    <row r="11" spans="1:25" ht="15.75" thickBot="1" x14ac:dyDescent="0.3">
      <c r="B11" s="29" t="s">
        <v>22</v>
      </c>
      <c r="C11" s="47"/>
      <c r="J11" s="43" t="s">
        <v>23</v>
      </c>
      <c r="K11" s="44"/>
      <c r="L11" s="127"/>
    </row>
    <row r="12" spans="1:25" ht="27" thickBot="1" x14ac:dyDescent="0.45">
      <c r="B12" s="29" t="s">
        <v>25</v>
      </c>
      <c r="C12" s="121"/>
      <c r="J12" s="43" t="s">
        <v>394</v>
      </c>
      <c r="K12" s="147"/>
      <c r="R12" s="3" t="s">
        <v>26</v>
      </c>
      <c r="S12" s="3"/>
      <c r="T12" s="3"/>
      <c r="U12" s="3"/>
      <c r="V12" s="3"/>
    </row>
    <row r="13" spans="1:25" ht="15.75" thickBot="1" x14ac:dyDescent="0.3">
      <c r="B13" s="120" t="s">
        <v>27</v>
      </c>
      <c r="C13" s="122"/>
      <c r="I13" s="31" t="s">
        <v>28</v>
      </c>
      <c r="J13" s="32" t="s">
        <v>29</v>
      </c>
      <c r="K13" s="32" t="s">
        <v>30</v>
      </c>
      <c r="L13" s="32" t="s">
        <v>31</v>
      </c>
      <c r="M13" s="34" t="s">
        <v>32</v>
      </c>
    </row>
    <row r="14" spans="1:25" ht="15.75" thickBot="1" x14ac:dyDescent="0.3">
      <c r="I14" s="30"/>
      <c r="J14" s="30"/>
      <c r="K14" s="30"/>
      <c r="L14" s="30"/>
      <c r="M14" s="104"/>
      <c r="R14" s="34" t="s">
        <v>10</v>
      </c>
    </row>
    <row r="15" spans="1:25" ht="24.75" customHeight="1" x14ac:dyDescent="0.25">
      <c r="I15" s="30"/>
      <c r="J15" s="30"/>
      <c r="K15" s="30"/>
      <c r="L15" s="30"/>
      <c r="M15" s="104"/>
      <c r="R15" s="54"/>
    </row>
    <row r="16" spans="1:25" ht="27" thickBot="1" x14ac:dyDescent="0.45">
      <c r="B16" s="3" t="s">
        <v>37</v>
      </c>
      <c r="C16" s="4"/>
      <c r="I16" s="30"/>
      <c r="J16" s="30"/>
      <c r="K16" s="30"/>
      <c r="L16" s="30"/>
      <c r="M16" s="104"/>
    </row>
    <row r="17" spans="2:23" ht="15.75" thickBot="1" x14ac:dyDescent="0.3">
      <c r="I17" s="30"/>
      <c r="J17" s="30"/>
      <c r="K17" s="30"/>
      <c r="L17" s="30"/>
      <c r="M17" s="104"/>
      <c r="R17" s="31" t="s">
        <v>4</v>
      </c>
      <c r="S17" s="32" t="s">
        <v>5</v>
      </c>
      <c r="T17" s="33" t="s">
        <v>6</v>
      </c>
      <c r="U17" s="32" t="s">
        <v>7</v>
      </c>
      <c r="V17" s="32" t="s">
        <v>8</v>
      </c>
      <c r="W17" s="34" t="s">
        <v>9</v>
      </c>
    </row>
    <row r="18" spans="2:23" ht="19.5" customHeight="1" thickBot="1" x14ac:dyDescent="0.3">
      <c r="B18" s="31" t="s">
        <v>42</v>
      </c>
      <c r="C18" s="32" t="s">
        <v>18</v>
      </c>
      <c r="D18" s="33" t="s">
        <v>43</v>
      </c>
      <c r="E18" s="32" t="s">
        <v>44</v>
      </c>
      <c r="F18" s="32" t="s">
        <v>45</v>
      </c>
      <c r="G18" s="34" t="s">
        <v>46</v>
      </c>
      <c r="I18" s="30"/>
      <c r="J18" s="30"/>
      <c r="K18" s="30"/>
      <c r="L18" s="30"/>
      <c r="M18" s="104"/>
      <c r="R18" s="56"/>
      <c r="S18" s="56"/>
      <c r="T18" s="56"/>
      <c r="U18" s="56"/>
      <c r="V18" s="56"/>
      <c r="W18" s="56"/>
    </row>
    <row r="19" spans="2:23" x14ac:dyDescent="0.25">
      <c r="B19" s="35"/>
      <c r="C19" s="36"/>
      <c r="D19" s="37"/>
      <c r="E19" s="38"/>
      <c r="F19" s="38"/>
      <c r="G19" s="38"/>
      <c r="I19" s="30"/>
      <c r="J19" s="30"/>
      <c r="K19" s="30"/>
      <c r="L19" s="30"/>
      <c r="M19" s="104"/>
    </row>
    <row r="20" spans="2:23" x14ac:dyDescent="0.25">
      <c r="I20" s="30"/>
      <c r="J20" s="30"/>
      <c r="K20" s="30"/>
      <c r="L20" s="30"/>
      <c r="M20" s="104"/>
    </row>
    <row r="21" spans="2:23" ht="15" customHeight="1" x14ac:dyDescent="0.25">
      <c r="B21" s="160" t="s">
        <v>53</v>
      </c>
      <c r="C21" s="160"/>
      <c r="I21" s="30"/>
      <c r="J21" s="30"/>
      <c r="K21" s="30"/>
      <c r="L21" s="30"/>
      <c r="M21" s="91"/>
    </row>
    <row r="22" spans="2:23" x14ac:dyDescent="0.25">
      <c r="B22" s="160"/>
      <c r="C22" s="160"/>
      <c r="I22" s="30"/>
      <c r="J22" s="30"/>
      <c r="K22" s="30"/>
      <c r="L22" s="30"/>
      <c r="M22" s="91"/>
    </row>
    <row r="23" spans="2:23" x14ac:dyDescent="0.25">
      <c r="B23" s="160"/>
      <c r="C23" s="160"/>
      <c r="I23" s="30"/>
      <c r="J23" s="30"/>
      <c r="K23" s="30"/>
      <c r="L23" s="30"/>
      <c r="M23" s="91"/>
    </row>
    <row r="24" spans="2:23" x14ac:dyDescent="0.25">
      <c r="I24" s="30"/>
      <c r="J24" s="30"/>
      <c r="K24" s="30"/>
      <c r="L24" s="30"/>
      <c r="M24" s="91"/>
    </row>
    <row r="25" spans="2:23" x14ac:dyDescent="0.25">
      <c r="I25" s="30"/>
      <c r="J25" s="30"/>
      <c r="K25" s="30"/>
      <c r="L25" s="30"/>
      <c r="M25" s="68"/>
    </row>
    <row r="26" spans="2:23" ht="26.25" x14ac:dyDescent="0.4">
      <c r="B26" s="3" t="s">
        <v>59</v>
      </c>
      <c r="C26" s="3"/>
      <c r="D26" s="3"/>
      <c r="E26" s="3"/>
      <c r="F26" s="3"/>
      <c r="I26" s="30"/>
      <c r="J26" s="30"/>
      <c r="K26" s="30"/>
      <c r="L26" s="30"/>
      <c r="M26" s="68"/>
    </row>
    <row r="27" spans="2:23" ht="15.75" thickBot="1" x14ac:dyDescent="0.3">
      <c r="I27" s="30"/>
      <c r="J27" s="30"/>
      <c r="K27" s="30"/>
      <c r="L27" s="30"/>
      <c r="M27" s="68"/>
    </row>
    <row r="28" spans="2:23" ht="21" customHeight="1" thickBot="1" x14ac:dyDescent="0.3">
      <c r="B28" s="31" t="s">
        <v>44</v>
      </c>
      <c r="C28" s="32" t="s">
        <v>42</v>
      </c>
      <c r="D28" s="33" t="s">
        <v>18</v>
      </c>
      <c r="E28" s="34" t="s">
        <v>43</v>
      </c>
      <c r="M28" s="68"/>
    </row>
    <row r="29" spans="2:23" x14ac:dyDescent="0.25">
      <c r="B29" s="1"/>
      <c r="C29" s="2"/>
      <c r="D29" s="2"/>
      <c r="E29" s="2"/>
      <c r="J29" s="30"/>
      <c r="K29" s="30"/>
      <c r="L29" s="30"/>
      <c r="M29" s="68"/>
    </row>
    <row r="30" spans="2:23" x14ac:dyDescent="0.25">
      <c r="J30" s="30"/>
      <c r="K30" s="30"/>
      <c r="L30" s="30"/>
      <c r="M30" s="68"/>
    </row>
    <row r="31" spans="2:23" x14ac:dyDescent="0.25">
      <c r="J31" s="30"/>
      <c r="K31" s="30"/>
      <c r="L31" s="30"/>
      <c r="M31" s="68"/>
      <c r="O31" s="68"/>
    </row>
    <row r="32" spans="2:23" x14ac:dyDescent="0.25">
      <c r="J32" s="30"/>
      <c r="K32" s="30"/>
      <c r="L32" s="30"/>
      <c r="M32" s="68"/>
    </row>
    <row r="33" spans="2:14" x14ac:dyDescent="0.25">
      <c r="J33" s="30"/>
      <c r="K33" s="30"/>
      <c r="L33" s="30"/>
    </row>
    <row r="34" spans="2:14" ht="15.75" thickBot="1" x14ac:dyDescent="0.3">
      <c r="J34" s="69" t="s">
        <v>60</v>
      </c>
      <c r="L34" s="30"/>
    </row>
    <row r="35" spans="2:14" ht="27" thickBot="1" x14ac:dyDescent="0.45">
      <c r="B35" s="3" t="s">
        <v>61</v>
      </c>
      <c r="C35" s="3"/>
      <c r="D35" s="3"/>
      <c r="E35" s="3"/>
      <c r="F35" s="3"/>
      <c r="J35" s="156" t="s">
        <v>62</v>
      </c>
      <c r="K35" s="157"/>
      <c r="L35" s="92" t="s">
        <v>63</v>
      </c>
      <c r="M35" s="156" t="s">
        <v>409</v>
      </c>
      <c r="N35" s="157"/>
    </row>
    <row r="36" spans="2:14" ht="15.75" thickBot="1" x14ac:dyDescent="0.3">
      <c r="J36" s="165"/>
      <c r="K36" s="166"/>
      <c r="L36" s="93"/>
      <c r="M36" s="149"/>
      <c r="N36" s="150"/>
    </row>
    <row r="37" spans="2:14" ht="30.75" thickBot="1" x14ac:dyDescent="0.3">
      <c r="B37" s="31" t="s">
        <v>42</v>
      </c>
      <c r="C37" s="32" t="s">
        <v>18</v>
      </c>
      <c r="D37" s="33" t="s">
        <v>7</v>
      </c>
      <c r="E37" s="33" t="s">
        <v>65</v>
      </c>
      <c r="J37" s="167"/>
      <c r="K37" s="168"/>
      <c r="L37" s="93"/>
      <c r="M37" s="149"/>
      <c r="N37" s="150"/>
    </row>
    <row r="38" spans="2:14" x14ac:dyDescent="0.25">
      <c r="B38" s="35"/>
      <c r="C38" s="36"/>
      <c r="D38" s="55"/>
      <c r="E38" s="38"/>
      <c r="J38" s="167"/>
      <c r="K38" s="168"/>
      <c r="L38" s="93"/>
      <c r="M38" s="149"/>
      <c r="N38" s="150"/>
    </row>
    <row r="39" spans="2:14" x14ac:dyDescent="0.25">
      <c r="J39" s="167"/>
      <c r="K39" s="168"/>
      <c r="L39" s="93"/>
      <c r="M39" s="149"/>
      <c r="N39" s="150"/>
    </row>
    <row r="40" spans="2:14" ht="15.75" thickBot="1" x14ac:dyDescent="0.3">
      <c r="J40" s="163"/>
      <c r="K40" s="164"/>
      <c r="L40" s="94"/>
      <c r="M40" s="151"/>
      <c r="N40" s="152"/>
    </row>
    <row r="42" spans="2:14" x14ac:dyDescent="0.25">
      <c r="M42" s="71"/>
    </row>
    <row r="44" spans="2:14" x14ac:dyDescent="0.25">
      <c r="M44" s="71"/>
    </row>
    <row r="45" spans="2:14" ht="26.25" x14ac:dyDescent="0.4">
      <c r="B45" s="3" t="s">
        <v>69</v>
      </c>
      <c r="C45" s="3"/>
      <c r="D45" s="3"/>
      <c r="E45" s="3"/>
      <c r="F45" s="3"/>
    </row>
    <row r="46" spans="2:14" ht="15.75" thickBot="1" x14ac:dyDescent="0.3">
      <c r="M46" s="71"/>
    </row>
    <row r="47" spans="2:14" ht="30.75" thickBot="1" x14ac:dyDescent="0.3">
      <c r="B47" s="31" t="s">
        <v>42</v>
      </c>
      <c r="C47" s="32" t="s">
        <v>18</v>
      </c>
      <c r="D47" s="33" t="s">
        <v>7</v>
      </c>
      <c r="E47" s="33" t="s">
        <v>27</v>
      </c>
    </row>
    <row r="48" spans="2:14" x14ac:dyDescent="0.25">
      <c r="B48" s="35"/>
      <c r="C48" s="36"/>
      <c r="D48" s="55"/>
      <c r="E48" s="119"/>
      <c r="L48" s="71"/>
    </row>
    <row r="55" spans="2:6" ht="26.25" x14ac:dyDescent="0.4">
      <c r="B55" s="3" t="s">
        <v>373</v>
      </c>
      <c r="C55" s="3"/>
      <c r="D55" s="3"/>
      <c r="E55" s="3"/>
      <c r="F55" s="3"/>
    </row>
    <row r="56" spans="2:6" ht="15.75" thickBot="1" x14ac:dyDescent="0.3"/>
    <row r="57" spans="2:6" ht="30.75" thickBot="1" x14ac:dyDescent="0.3">
      <c r="B57" s="31" t="s">
        <v>42</v>
      </c>
      <c r="C57" s="32" t="s">
        <v>18</v>
      </c>
      <c r="D57" s="33" t="s">
        <v>7</v>
      </c>
      <c r="E57" s="33" t="s">
        <v>374</v>
      </c>
    </row>
    <row r="58" spans="2:6" x14ac:dyDescent="0.25">
      <c r="B58" s="35"/>
      <c r="C58" s="36"/>
      <c r="D58" s="55"/>
      <c r="E58" s="55"/>
    </row>
    <row r="59" spans="2:6" ht="15.75" thickBot="1" x14ac:dyDescent="0.3"/>
    <row r="60" spans="2:6" ht="20.25" customHeight="1" thickBot="1" x14ac:dyDescent="0.3">
      <c r="B60" s="139" t="s">
        <v>375</v>
      </c>
      <c r="C60" s="140" t="s">
        <v>377</v>
      </c>
      <c r="D60" s="141" t="s">
        <v>376</v>
      </c>
      <c r="E60" s="140" t="s">
        <v>378</v>
      </c>
    </row>
    <row r="61" spans="2:6" x14ac:dyDescent="0.25">
      <c r="B61" s="133"/>
      <c r="C61" s="134"/>
      <c r="D61" s="134"/>
      <c r="E61" s="135"/>
    </row>
    <row r="62" spans="2:6" x14ac:dyDescent="0.25">
      <c r="B62" s="133"/>
      <c r="C62" s="134"/>
      <c r="D62" s="134"/>
      <c r="E62" s="135"/>
    </row>
    <row r="63" spans="2:6" x14ac:dyDescent="0.25">
      <c r="B63" s="133"/>
      <c r="C63" s="134"/>
      <c r="D63" s="134"/>
      <c r="E63" s="135"/>
    </row>
    <row r="64" spans="2:6" x14ac:dyDescent="0.25">
      <c r="B64" s="133"/>
      <c r="C64" s="134"/>
      <c r="D64" s="134"/>
      <c r="E64" s="135"/>
    </row>
    <row r="65" spans="2:5" x14ac:dyDescent="0.25">
      <c r="B65" s="133"/>
      <c r="C65" s="134"/>
      <c r="D65" s="134"/>
      <c r="E65" s="135"/>
    </row>
    <row r="66" spans="2:5" x14ac:dyDescent="0.25">
      <c r="B66" s="133"/>
      <c r="C66" s="134"/>
      <c r="D66" s="134"/>
      <c r="E66" s="135"/>
    </row>
    <row r="67" spans="2:5" x14ac:dyDescent="0.25">
      <c r="B67" s="133"/>
      <c r="C67" s="134"/>
      <c r="D67" s="134"/>
      <c r="E67" s="135"/>
    </row>
    <row r="68" spans="2:5" x14ac:dyDescent="0.25">
      <c r="B68" s="133"/>
      <c r="C68" s="134"/>
      <c r="D68" s="134"/>
      <c r="E68" s="135"/>
    </row>
    <row r="69" spans="2:5" x14ac:dyDescent="0.25">
      <c r="B69" s="136"/>
      <c r="C69" s="137"/>
      <c r="D69" s="137"/>
      <c r="E69" s="138"/>
    </row>
    <row r="70" spans="2:5" x14ac:dyDescent="0.25">
      <c r="B70" s="30"/>
      <c r="C70" s="30"/>
      <c r="D70" s="30"/>
      <c r="E70" s="30"/>
    </row>
    <row r="71" spans="2:5" x14ac:dyDescent="0.25">
      <c r="B71" s="30"/>
      <c r="C71" s="30"/>
      <c r="D71" s="30"/>
      <c r="E71" s="30"/>
    </row>
    <row r="72" spans="2:5" x14ac:dyDescent="0.25">
      <c r="B72" s="30"/>
      <c r="C72" s="30"/>
      <c r="D72" s="30"/>
      <c r="E72" s="30"/>
    </row>
    <row r="73" spans="2:5" x14ac:dyDescent="0.25">
      <c r="B73" s="30"/>
      <c r="C73" s="30"/>
      <c r="D73" s="30"/>
      <c r="E73" s="30"/>
    </row>
    <row r="74" spans="2:5" x14ac:dyDescent="0.25">
      <c r="B74" s="30"/>
      <c r="C74" s="30"/>
      <c r="D74" s="30"/>
      <c r="E74" s="30"/>
    </row>
    <row r="75" spans="2:5" x14ac:dyDescent="0.25">
      <c r="B75" s="30"/>
      <c r="C75" s="30"/>
      <c r="D75" s="30"/>
      <c r="E75" s="30"/>
    </row>
    <row r="76" spans="2:5" x14ac:dyDescent="0.25">
      <c r="B76" s="30"/>
      <c r="C76" s="30"/>
      <c r="D76" s="30"/>
      <c r="E76" s="30"/>
    </row>
    <row r="77" spans="2:5" x14ac:dyDescent="0.25">
      <c r="B77" s="30"/>
      <c r="C77" s="30"/>
      <c r="D77" s="30"/>
      <c r="E77" s="30"/>
    </row>
    <row r="78" spans="2:5" x14ac:dyDescent="0.25">
      <c r="B78" s="30"/>
      <c r="C78" s="30"/>
      <c r="D78" s="30"/>
      <c r="E78" s="30"/>
    </row>
    <row r="79" spans="2:5" x14ac:dyDescent="0.25">
      <c r="B79" s="30"/>
      <c r="C79" s="30"/>
      <c r="D79" s="30"/>
      <c r="E79" s="30"/>
    </row>
    <row r="80" spans="2:5" x14ac:dyDescent="0.25">
      <c r="B80" s="30"/>
      <c r="C80" s="30"/>
      <c r="D80" s="30"/>
      <c r="E80" s="30"/>
    </row>
    <row r="81" spans="2:5" x14ac:dyDescent="0.25">
      <c r="B81" s="30"/>
      <c r="C81" s="30"/>
      <c r="D81" s="30"/>
      <c r="E81" s="30"/>
    </row>
    <row r="82" spans="2:5" x14ac:dyDescent="0.25">
      <c r="B82" s="30"/>
      <c r="C82" s="30"/>
      <c r="D82" s="30"/>
      <c r="E82" s="30"/>
    </row>
    <row r="83" spans="2:5" x14ac:dyDescent="0.25">
      <c r="B83" s="30"/>
      <c r="C83" s="30"/>
      <c r="D83" s="30"/>
      <c r="E83" s="30"/>
    </row>
    <row r="84" spans="2:5" x14ac:dyDescent="0.25">
      <c r="B84" s="30"/>
      <c r="C84" s="30"/>
      <c r="D84" s="30"/>
      <c r="E84" s="30"/>
    </row>
    <row r="85" spans="2:5" x14ac:dyDescent="0.25">
      <c r="B85" s="30"/>
      <c r="C85" s="30"/>
      <c r="D85" s="30"/>
      <c r="E85" s="30"/>
    </row>
    <row r="86" spans="2:5" x14ac:dyDescent="0.25">
      <c r="B86" s="30"/>
      <c r="C86" s="30"/>
      <c r="D86" s="30"/>
      <c r="E86" s="30"/>
    </row>
    <row r="87" spans="2:5" x14ac:dyDescent="0.25">
      <c r="B87" s="30"/>
      <c r="C87" s="30"/>
      <c r="D87" s="30"/>
      <c r="E87" s="30"/>
    </row>
    <row r="88" spans="2:5" x14ac:dyDescent="0.25">
      <c r="B88" s="30"/>
      <c r="C88" s="30"/>
      <c r="D88" s="30"/>
      <c r="E88" s="30"/>
    </row>
    <row r="89" spans="2:5" x14ac:dyDescent="0.25">
      <c r="B89" s="30"/>
      <c r="C89" s="30"/>
      <c r="D89" s="30"/>
      <c r="E89" s="30"/>
    </row>
    <row r="90" spans="2:5" x14ac:dyDescent="0.25">
      <c r="B90" s="30"/>
      <c r="C90" s="30"/>
      <c r="D90" s="30"/>
      <c r="E90" s="30"/>
    </row>
    <row r="91" spans="2:5" x14ac:dyDescent="0.25">
      <c r="B91" s="30"/>
      <c r="C91" s="30"/>
      <c r="D91" s="30"/>
      <c r="E91" s="30"/>
    </row>
    <row r="92" spans="2:5" x14ac:dyDescent="0.25">
      <c r="B92" s="30"/>
      <c r="C92" s="30"/>
      <c r="D92" s="30"/>
      <c r="E92" s="30"/>
    </row>
    <row r="93" spans="2:5" x14ac:dyDescent="0.25">
      <c r="B93" s="30"/>
      <c r="C93" s="30"/>
      <c r="D93" s="30"/>
      <c r="E93" s="30"/>
    </row>
    <row r="94" spans="2:5" x14ac:dyDescent="0.25">
      <c r="B94" s="30"/>
      <c r="C94" s="30"/>
      <c r="D94" s="30"/>
      <c r="E94" s="30"/>
    </row>
    <row r="95" spans="2:5" x14ac:dyDescent="0.25">
      <c r="B95" s="30"/>
      <c r="C95" s="30"/>
      <c r="D95" s="30"/>
      <c r="E95" s="30"/>
    </row>
    <row r="96" spans="2:5" x14ac:dyDescent="0.25">
      <c r="B96" s="30"/>
      <c r="C96" s="30"/>
      <c r="D96" s="30"/>
      <c r="E96" s="30"/>
    </row>
    <row r="97" spans="2:5" x14ac:dyDescent="0.25">
      <c r="B97" s="30"/>
      <c r="C97" s="30"/>
      <c r="D97" s="30"/>
      <c r="E97" s="30"/>
    </row>
    <row r="98" spans="2:5" x14ac:dyDescent="0.25">
      <c r="B98" s="30"/>
      <c r="C98" s="30"/>
      <c r="D98" s="30"/>
      <c r="E98" s="30"/>
    </row>
    <row r="99" spans="2:5" x14ac:dyDescent="0.25">
      <c r="B99" s="30"/>
      <c r="C99" s="30"/>
      <c r="D99" s="30"/>
      <c r="E99" s="30"/>
    </row>
    <row r="100" spans="2:5" x14ac:dyDescent="0.25">
      <c r="B100" s="30"/>
      <c r="C100" s="30"/>
      <c r="D100" s="30"/>
      <c r="E100" s="30"/>
    </row>
    <row r="101" spans="2:5" x14ac:dyDescent="0.25">
      <c r="B101" s="30"/>
      <c r="C101" s="30"/>
      <c r="D101" s="30"/>
      <c r="E101" s="30"/>
    </row>
    <row r="102" spans="2:5" x14ac:dyDescent="0.25">
      <c r="B102" s="30"/>
      <c r="C102" s="30"/>
      <c r="D102" s="30"/>
      <c r="E102" s="30"/>
    </row>
    <row r="103" spans="2:5" x14ac:dyDescent="0.25">
      <c r="B103" s="30"/>
      <c r="C103" s="30"/>
      <c r="D103" s="30"/>
      <c r="E103" s="30"/>
    </row>
    <row r="104" spans="2:5" x14ac:dyDescent="0.25">
      <c r="B104" s="30"/>
      <c r="C104" s="30"/>
      <c r="D104" s="30"/>
      <c r="E104" s="30"/>
    </row>
    <row r="105" spans="2:5" x14ac:dyDescent="0.25">
      <c r="B105" s="30"/>
      <c r="C105" s="30"/>
      <c r="D105" s="30"/>
      <c r="E105" s="30"/>
    </row>
    <row r="106" spans="2:5" x14ac:dyDescent="0.25">
      <c r="B106" s="30"/>
      <c r="C106" s="30"/>
      <c r="D106" s="30"/>
      <c r="E106" s="30"/>
    </row>
    <row r="107" spans="2:5" x14ac:dyDescent="0.25">
      <c r="B107" s="30"/>
      <c r="C107" s="30"/>
      <c r="D107" s="30"/>
      <c r="E107" s="30"/>
    </row>
    <row r="108" spans="2:5" x14ac:dyDescent="0.25">
      <c r="B108" s="30"/>
      <c r="C108" s="30"/>
      <c r="D108" s="30"/>
      <c r="E108" s="30"/>
    </row>
    <row r="109" spans="2:5" x14ac:dyDescent="0.25">
      <c r="B109" s="30"/>
      <c r="C109" s="30"/>
      <c r="D109" s="30"/>
      <c r="E109" s="30"/>
    </row>
    <row r="110" spans="2:5" x14ac:dyDescent="0.25">
      <c r="B110" s="30"/>
      <c r="C110" s="30"/>
      <c r="D110" s="30"/>
      <c r="E110" s="30"/>
    </row>
    <row r="111" spans="2:5" x14ac:dyDescent="0.25">
      <c r="B111" s="30"/>
      <c r="C111" s="30"/>
      <c r="D111" s="30"/>
      <c r="E111" s="30"/>
    </row>
    <row r="112" spans="2:5" x14ac:dyDescent="0.25">
      <c r="B112" s="30"/>
      <c r="C112" s="30"/>
      <c r="D112" s="30"/>
      <c r="E112" s="30"/>
    </row>
    <row r="113" spans="2:5" x14ac:dyDescent="0.25">
      <c r="B113" s="30"/>
      <c r="C113" s="30"/>
      <c r="D113" s="30"/>
      <c r="E113" s="30"/>
    </row>
    <row r="114" spans="2:5" x14ac:dyDescent="0.25">
      <c r="B114" s="30"/>
      <c r="C114" s="30"/>
      <c r="D114" s="30"/>
      <c r="E114" s="30"/>
    </row>
    <row r="115" spans="2:5" x14ac:dyDescent="0.25">
      <c r="B115" s="30"/>
      <c r="C115" s="30"/>
      <c r="D115" s="30"/>
      <c r="E115" s="30"/>
    </row>
    <row r="116" spans="2:5" x14ac:dyDescent="0.25">
      <c r="B116" s="30"/>
      <c r="C116" s="30"/>
      <c r="D116" s="30"/>
      <c r="E116" s="30"/>
    </row>
    <row r="117" spans="2:5" x14ac:dyDescent="0.25">
      <c r="B117" s="30"/>
      <c r="C117" s="30"/>
      <c r="D117" s="30"/>
      <c r="E117" s="30"/>
    </row>
    <row r="118" spans="2:5" x14ac:dyDescent="0.25">
      <c r="B118" s="30"/>
      <c r="C118" s="30"/>
      <c r="D118" s="30"/>
      <c r="E118" s="30"/>
    </row>
    <row r="119" spans="2:5" x14ac:dyDescent="0.25">
      <c r="B119" s="30"/>
      <c r="C119" s="30"/>
      <c r="D119" s="30"/>
      <c r="E119" s="30"/>
    </row>
    <row r="120" spans="2:5" x14ac:dyDescent="0.25">
      <c r="B120" s="30"/>
      <c r="C120" s="30"/>
      <c r="D120" s="30"/>
      <c r="E120" s="30"/>
    </row>
    <row r="121" spans="2:5" x14ac:dyDescent="0.25">
      <c r="B121" s="30"/>
      <c r="C121" s="30"/>
      <c r="D121" s="30"/>
      <c r="E121" s="30"/>
    </row>
    <row r="122" spans="2:5" x14ac:dyDescent="0.25">
      <c r="B122" s="30"/>
      <c r="C122" s="30"/>
      <c r="D122" s="30"/>
      <c r="E122" s="30"/>
    </row>
    <row r="123" spans="2:5" x14ac:dyDescent="0.25">
      <c r="B123" s="30"/>
      <c r="C123" s="30"/>
      <c r="D123" s="30"/>
      <c r="E123" s="30"/>
    </row>
    <row r="124" spans="2:5" x14ac:dyDescent="0.25">
      <c r="B124" s="30"/>
      <c r="C124" s="30"/>
      <c r="D124" s="30"/>
      <c r="E124" s="30"/>
    </row>
    <row r="125" spans="2:5" x14ac:dyDescent="0.25">
      <c r="B125" s="30"/>
      <c r="C125" s="30"/>
      <c r="D125" s="30"/>
      <c r="E125" s="30"/>
    </row>
    <row r="126" spans="2:5" x14ac:dyDescent="0.25">
      <c r="B126" s="30"/>
      <c r="C126" s="30"/>
      <c r="D126" s="30"/>
      <c r="E126" s="30"/>
    </row>
    <row r="127" spans="2:5" x14ac:dyDescent="0.25">
      <c r="B127" s="30"/>
      <c r="C127" s="30"/>
      <c r="D127" s="30"/>
      <c r="E127" s="30"/>
    </row>
    <row r="128" spans="2:5" x14ac:dyDescent="0.25">
      <c r="B128" s="30"/>
      <c r="C128" s="30"/>
      <c r="D128" s="30"/>
      <c r="E128" s="30"/>
    </row>
    <row r="129" spans="2:5" x14ac:dyDescent="0.25">
      <c r="B129" s="30"/>
      <c r="C129" s="30"/>
      <c r="D129" s="30"/>
      <c r="E129" s="30"/>
    </row>
    <row r="130" spans="2:5" x14ac:dyDescent="0.25">
      <c r="B130" s="30"/>
      <c r="C130" s="30"/>
      <c r="D130" s="30"/>
      <c r="E130" s="30"/>
    </row>
    <row r="131" spans="2:5" x14ac:dyDescent="0.25">
      <c r="B131" s="30"/>
      <c r="C131" s="30"/>
      <c r="D131" s="30"/>
      <c r="E131" s="30"/>
    </row>
    <row r="132" spans="2:5" x14ac:dyDescent="0.25">
      <c r="B132" s="30"/>
      <c r="C132" s="30"/>
      <c r="D132" s="30"/>
      <c r="E132" s="30"/>
    </row>
    <row r="133" spans="2:5" x14ac:dyDescent="0.25">
      <c r="B133" s="30"/>
      <c r="C133" s="30"/>
      <c r="D133" s="30"/>
      <c r="E133" s="30"/>
    </row>
    <row r="134" spans="2:5" x14ac:dyDescent="0.25">
      <c r="B134" s="30"/>
      <c r="C134" s="30"/>
      <c r="D134" s="30"/>
      <c r="E134" s="30"/>
    </row>
    <row r="135" spans="2:5" x14ac:dyDescent="0.25">
      <c r="B135" s="30"/>
      <c r="C135" s="30"/>
      <c r="D135" s="30"/>
      <c r="E135" s="30"/>
    </row>
    <row r="136" spans="2:5" x14ac:dyDescent="0.25">
      <c r="B136" s="30"/>
      <c r="C136" s="30"/>
      <c r="D136" s="30"/>
      <c r="E136" s="30"/>
    </row>
    <row r="137" spans="2:5" x14ac:dyDescent="0.25">
      <c r="B137" s="30"/>
      <c r="C137" s="30"/>
      <c r="D137" s="30"/>
      <c r="E137" s="30"/>
    </row>
    <row r="138" spans="2:5" x14ac:dyDescent="0.25">
      <c r="B138" s="30"/>
      <c r="C138" s="30"/>
      <c r="D138" s="30"/>
      <c r="E138" s="30"/>
    </row>
    <row r="139" spans="2:5" x14ac:dyDescent="0.25">
      <c r="B139" s="30"/>
      <c r="C139" s="30"/>
      <c r="D139" s="30"/>
      <c r="E139" s="30"/>
    </row>
    <row r="140" spans="2:5" x14ac:dyDescent="0.25">
      <c r="B140" s="30"/>
      <c r="C140" s="30"/>
      <c r="D140" s="30"/>
      <c r="E140" s="30"/>
    </row>
    <row r="141" spans="2:5" x14ac:dyDescent="0.25">
      <c r="B141" s="30"/>
      <c r="C141" s="30"/>
      <c r="D141" s="30"/>
      <c r="E141" s="30"/>
    </row>
    <row r="142" spans="2:5" x14ac:dyDescent="0.25">
      <c r="B142" s="30"/>
      <c r="C142" s="30"/>
      <c r="D142" s="30"/>
      <c r="E142" s="30"/>
    </row>
    <row r="143" spans="2:5" x14ac:dyDescent="0.25">
      <c r="B143" s="30"/>
      <c r="C143" s="30"/>
      <c r="D143" s="30"/>
      <c r="E143" s="30"/>
    </row>
    <row r="144" spans="2:5" x14ac:dyDescent="0.25">
      <c r="B144" s="30"/>
      <c r="C144" s="30"/>
      <c r="D144" s="30"/>
      <c r="E144" s="30"/>
    </row>
    <row r="145" spans="2:5" x14ac:dyDescent="0.25">
      <c r="B145" s="30"/>
      <c r="C145" s="30"/>
      <c r="D145" s="30"/>
      <c r="E145" s="30"/>
    </row>
    <row r="146" spans="2:5" x14ac:dyDescent="0.25">
      <c r="B146" s="30"/>
      <c r="C146" s="30"/>
      <c r="D146" s="30"/>
      <c r="E146" s="30"/>
    </row>
    <row r="147" spans="2:5" x14ac:dyDescent="0.25">
      <c r="B147" s="30"/>
      <c r="C147" s="30"/>
      <c r="D147" s="30"/>
      <c r="E147" s="30"/>
    </row>
    <row r="148" spans="2:5" x14ac:dyDescent="0.25">
      <c r="B148" s="30"/>
      <c r="C148" s="30"/>
      <c r="D148" s="30"/>
      <c r="E148" s="30"/>
    </row>
    <row r="149" spans="2:5" x14ac:dyDescent="0.25">
      <c r="B149" s="30"/>
      <c r="C149" s="30"/>
      <c r="D149" s="30"/>
      <c r="E149" s="30"/>
    </row>
    <row r="150" spans="2:5" x14ac:dyDescent="0.25">
      <c r="B150" s="30"/>
      <c r="C150" s="30"/>
      <c r="D150" s="30"/>
      <c r="E150" s="30"/>
    </row>
    <row r="151" spans="2:5" x14ac:dyDescent="0.25">
      <c r="B151" s="30"/>
      <c r="C151" s="30"/>
      <c r="D151" s="30"/>
      <c r="E151" s="30"/>
    </row>
    <row r="152" spans="2:5" x14ac:dyDescent="0.25">
      <c r="B152" s="30"/>
      <c r="C152" s="30"/>
      <c r="D152" s="30"/>
      <c r="E152" s="30"/>
    </row>
    <row r="153" spans="2:5" x14ac:dyDescent="0.25">
      <c r="B153" s="30"/>
      <c r="C153" s="30"/>
      <c r="D153" s="30"/>
      <c r="E153" s="30"/>
    </row>
    <row r="154" spans="2:5" x14ac:dyDescent="0.25">
      <c r="B154" s="30"/>
      <c r="C154" s="30"/>
      <c r="D154" s="30"/>
      <c r="E154" s="30"/>
    </row>
    <row r="155" spans="2:5" x14ac:dyDescent="0.25">
      <c r="B155" s="30"/>
      <c r="C155" s="30"/>
      <c r="D155" s="30"/>
      <c r="E155" s="30"/>
    </row>
    <row r="156" spans="2:5" x14ac:dyDescent="0.25">
      <c r="B156" s="30"/>
      <c r="C156" s="30"/>
      <c r="D156" s="30"/>
      <c r="E156" s="30"/>
    </row>
    <row r="157" spans="2:5" x14ac:dyDescent="0.25">
      <c r="B157" s="30"/>
      <c r="C157" s="30"/>
      <c r="D157" s="30"/>
      <c r="E157" s="30"/>
    </row>
    <row r="158" spans="2:5" x14ac:dyDescent="0.25">
      <c r="B158" s="30"/>
      <c r="C158" s="30"/>
      <c r="D158" s="30"/>
      <c r="E158" s="30"/>
    </row>
    <row r="159" spans="2:5" x14ac:dyDescent="0.25">
      <c r="B159" s="30"/>
      <c r="C159" s="30"/>
      <c r="D159" s="30"/>
      <c r="E159" s="30"/>
    </row>
    <row r="160" spans="2:5" x14ac:dyDescent="0.25">
      <c r="B160" s="30"/>
      <c r="C160" s="30"/>
      <c r="D160" s="30"/>
      <c r="E160" s="30"/>
    </row>
    <row r="161" spans="2:5" x14ac:dyDescent="0.25">
      <c r="B161" s="30"/>
      <c r="C161" s="30"/>
      <c r="D161" s="30"/>
      <c r="E161" s="30"/>
    </row>
    <row r="162" spans="2:5" x14ac:dyDescent="0.25">
      <c r="B162" s="30"/>
      <c r="C162" s="30"/>
      <c r="D162" s="30"/>
      <c r="E162" s="30"/>
    </row>
    <row r="163" spans="2:5" x14ac:dyDescent="0.25">
      <c r="B163" s="30"/>
      <c r="C163" s="30"/>
      <c r="D163" s="30"/>
      <c r="E163" s="30"/>
    </row>
    <row r="164" spans="2:5" x14ac:dyDescent="0.25">
      <c r="B164" s="30"/>
      <c r="C164" s="30"/>
      <c r="D164" s="30"/>
      <c r="E164" s="30"/>
    </row>
    <row r="165" spans="2:5" x14ac:dyDescent="0.25">
      <c r="B165" s="30"/>
      <c r="C165" s="30"/>
      <c r="D165" s="30"/>
      <c r="E165" s="30"/>
    </row>
    <row r="166" spans="2:5" x14ac:dyDescent="0.25">
      <c r="B166" s="30"/>
      <c r="C166" s="30"/>
      <c r="D166" s="30"/>
      <c r="E166" s="30"/>
    </row>
    <row r="167" spans="2:5" x14ac:dyDescent="0.25">
      <c r="B167" s="30"/>
      <c r="C167" s="30"/>
      <c r="D167" s="30"/>
      <c r="E167" s="30"/>
    </row>
    <row r="168" spans="2:5" x14ac:dyDescent="0.25">
      <c r="B168" s="30"/>
      <c r="C168" s="30"/>
      <c r="D168" s="30"/>
      <c r="E168" s="30"/>
    </row>
    <row r="169" spans="2:5" x14ac:dyDescent="0.25">
      <c r="B169" s="30"/>
      <c r="C169" s="30"/>
      <c r="D169" s="30"/>
      <c r="E169" s="30"/>
    </row>
    <row r="170" spans="2:5" x14ac:dyDescent="0.25">
      <c r="B170" s="30"/>
      <c r="C170" s="30"/>
      <c r="D170" s="30"/>
      <c r="E170" s="30"/>
    </row>
    <row r="171" spans="2:5" x14ac:dyDescent="0.25">
      <c r="B171" s="30"/>
      <c r="C171" s="30"/>
      <c r="D171" s="30"/>
      <c r="E171" s="30"/>
    </row>
    <row r="172" spans="2:5" x14ac:dyDescent="0.25">
      <c r="B172" s="30"/>
      <c r="C172" s="30"/>
      <c r="D172" s="30"/>
      <c r="E172" s="30"/>
    </row>
    <row r="173" spans="2:5" x14ac:dyDescent="0.25">
      <c r="B173" s="30"/>
      <c r="C173" s="30"/>
      <c r="D173" s="30"/>
      <c r="E173" s="30"/>
    </row>
    <row r="174" spans="2:5" x14ac:dyDescent="0.25">
      <c r="B174" s="30"/>
      <c r="C174" s="30"/>
      <c r="D174" s="30"/>
      <c r="E174" s="30"/>
    </row>
    <row r="175" spans="2:5" x14ac:dyDescent="0.25">
      <c r="B175" s="30"/>
      <c r="C175" s="30"/>
      <c r="D175" s="30"/>
      <c r="E175" s="30"/>
    </row>
    <row r="176" spans="2:5" x14ac:dyDescent="0.25">
      <c r="B176" s="30"/>
      <c r="C176" s="30"/>
      <c r="D176" s="30"/>
      <c r="E176" s="30"/>
    </row>
    <row r="177" spans="2:5" x14ac:dyDescent="0.25">
      <c r="B177" s="30"/>
      <c r="C177" s="30"/>
      <c r="D177" s="30"/>
      <c r="E177" s="30"/>
    </row>
    <row r="178" spans="2:5" x14ac:dyDescent="0.25">
      <c r="B178" s="30"/>
      <c r="C178" s="30"/>
      <c r="D178" s="30"/>
      <c r="E178" s="30"/>
    </row>
    <row r="179" spans="2:5" x14ac:dyDescent="0.25">
      <c r="B179" s="30"/>
      <c r="C179" s="30"/>
      <c r="D179" s="30"/>
      <c r="E179" s="30"/>
    </row>
    <row r="180" spans="2:5" x14ac:dyDescent="0.25">
      <c r="B180" s="30"/>
      <c r="C180" s="30"/>
      <c r="D180" s="30"/>
      <c r="E180" s="30"/>
    </row>
    <row r="181" spans="2:5" x14ac:dyDescent="0.25">
      <c r="B181" s="30"/>
      <c r="C181" s="30"/>
      <c r="D181" s="30"/>
      <c r="E181" s="30"/>
    </row>
    <row r="182" spans="2:5" x14ac:dyDescent="0.25">
      <c r="B182" s="30"/>
      <c r="C182" s="30"/>
      <c r="D182" s="30"/>
      <c r="E182" s="30"/>
    </row>
    <row r="183" spans="2:5" x14ac:dyDescent="0.25">
      <c r="B183" s="30"/>
      <c r="C183" s="30"/>
      <c r="D183" s="30"/>
      <c r="E183" s="30"/>
    </row>
    <row r="184" spans="2:5" x14ac:dyDescent="0.25">
      <c r="B184" s="30"/>
      <c r="C184" s="30"/>
      <c r="D184" s="30"/>
      <c r="E184" s="30"/>
    </row>
    <row r="185" spans="2:5" x14ac:dyDescent="0.25">
      <c r="B185" s="30"/>
      <c r="C185" s="30"/>
      <c r="D185" s="30"/>
      <c r="E185" s="30"/>
    </row>
    <row r="186" spans="2:5" x14ac:dyDescent="0.25">
      <c r="B186" s="30"/>
      <c r="C186" s="30"/>
      <c r="D186" s="30"/>
      <c r="E186" s="30"/>
    </row>
    <row r="187" spans="2:5" x14ac:dyDescent="0.25">
      <c r="B187" s="30"/>
      <c r="C187" s="30"/>
      <c r="D187" s="30"/>
      <c r="E187" s="30"/>
    </row>
    <row r="188" spans="2:5" x14ac:dyDescent="0.25">
      <c r="B188" s="30"/>
      <c r="C188" s="30"/>
      <c r="D188" s="30"/>
      <c r="E188" s="30"/>
    </row>
    <row r="189" spans="2:5" x14ac:dyDescent="0.25">
      <c r="B189" s="30"/>
      <c r="C189" s="30"/>
      <c r="D189" s="30"/>
      <c r="E189" s="30"/>
    </row>
    <row r="190" spans="2:5" x14ac:dyDescent="0.25">
      <c r="B190" s="30"/>
      <c r="C190" s="30"/>
      <c r="D190" s="30"/>
      <c r="E190" s="30"/>
    </row>
    <row r="191" spans="2:5" x14ac:dyDescent="0.25">
      <c r="B191" s="30"/>
      <c r="C191" s="30"/>
      <c r="D191" s="30"/>
      <c r="E191" s="30"/>
    </row>
    <row r="192" spans="2:5" x14ac:dyDescent="0.25">
      <c r="B192" s="30"/>
      <c r="C192" s="30"/>
      <c r="D192" s="30"/>
      <c r="E192" s="30"/>
    </row>
    <row r="193" spans="2:5" x14ac:dyDescent="0.25">
      <c r="B193" s="30"/>
      <c r="C193" s="30"/>
      <c r="D193" s="30"/>
      <c r="E193" s="30"/>
    </row>
    <row r="194" spans="2:5" x14ac:dyDescent="0.25">
      <c r="B194" s="30"/>
      <c r="C194" s="30"/>
      <c r="D194" s="30"/>
      <c r="E194" s="30"/>
    </row>
    <row r="195" spans="2:5" x14ac:dyDescent="0.25">
      <c r="B195" s="30"/>
      <c r="C195" s="30"/>
      <c r="D195" s="30"/>
      <c r="E195" s="30"/>
    </row>
    <row r="196" spans="2:5" x14ac:dyDescent="0.25">
      <c r="B196" s="30"/>
      <c r="C196" s="30"/>
      <c r="D196" s="30"/>
      <c r="E196" s="30"/>
    </row>
    <row r="197" spans="2:5" x14ac:dyDescent="0.25">
      <c r="B197" s="30"/>
      <c r="C197" s="30"/>
      <c r="D197" s="30"/>
      <c r="E197" s="30"/>
    </row>
    <row r="198" spans="2:5" x14ac:dyDescent="0.25">
      <c r="B198" s="30"/>
      <c r="C198" s="30"/>
      <c r="D198" s="30"/>
      <c r="E198" s="30"/>
    </row>
    <row r="199" spans="2:5" x14ac:dyDescent="0.25">
      <c r="B199" s="30"/>
      <c r="C199" s="30"/>
      <c r="D199" s="30"/>
      <c r="E199" s="30"/>
    </row>
    <row r="200" spans="2:5" x14ac:dyDescent="0.25">
      <c r="B200" s="30"/>
      <c r="C200" s="30"/>
      <c r="D200" s="30"/>
      <c r="E200" s="30"/>
    </row>
    <row r="201" spans="2:5" x14ac:dyDescent="0.25">
      <c r="B201" s="30"/>
      <c r="C201" s="30"/>
      <c r="D201" s="30"/>
      <c r="E201" s="30"/>
    </row>
    <row r="202" spans="2:5" x14ac:dyDescent="0.25">
      <c r="B202" s="30"/>
      <c r="C202" s="30"/>
      <c r="D202" s="30"/>
      <c r="E202" s="30"/>
    </row>
    <row r="203" spans="2:5" x14ac:dyDescent="0.25">
      <c r="B203" s="30"/>
      <c r="C203" s="30"/>
      <c r="D203" s="30"/>
      <c r="E203" s="30"/>
    </row>
    <row r="204" spans="2:5" x14ac:dyDescent="0.25">
      <c r="B204" s="30"/>
      <c r="C204" s="30"/>
      <c r="D204" s="30"/>
      <c r="E204" s="30"/>
    </row>
    <row r="205" spans="2:5" x14ac:dyDescent="0.25">
      <c r="B205" s="30"/>
      <c r="C205" s="30"/>
      <c r="D205" s="30"/>
      <c r="E205" s="30"/>
    </row>
    <row r="206" spans="2:5" x14ac:dyDescent="0.25">
      <c r="B206" s="30"/>
      <c r="C206" s="30"/>
      <c r="D206" s="30"/>
      <c r="E206" s="30"/>
    </row>
    <row r="207" spans="2:5" x14ac:dyDescent="0.25">
      <c r="B207" s="30"/>
      <c r="C207" s="30"/>
      <c r="D207" s="30"/>
      <c r="E207" s="30"/>
    </row>
    <row r="208" spans="2:5" x14ac:dyDescent="0.25">
      <c r="B208" s="30"/>
      <c r="C208" s="30"/>
      <c r="D208" s="30"/>
      <c r="E208" s="30"/>
    </row>
    <row r="209" spans="2:5" x14ac:dyDescent="0.25">
      <c r="B209" s="30"/>
      <c r="C209" s="30"/>
      <c r="D209" s="30"/>
      <c r="E209" s="30"/>
    </row>
    <row r="210" spans="2:5" x14ac:dyDescent="0.25">
      <c r="B210" s="30"/>
      <c r="C210" s="30"/>
      <c r="D210" s="30"/>
      <c r="E210" s="30"/>
    </row>
    <row r="211" spans="2:5" x14ac:dyDescent="0.25">
      <c r="B211" s="30"/>
      <c r="C211" s="30"/>
      <c r="D211" s="30"/>
      <c r="E211" s="30"/>
    </row>
    <row r="212" spans="2:5" x14ac:dyDescent="0.25">
      <c r="B212" s="30"/>
      <c r="C212" s="30"/>
      <c r="D212" s="30"/>
      <c r="E212" s="30"/>
    </row>
    <row r="213" spans="2:5" x14ac:dyDescent="0.25">
      <c r="B213" s="30"/>
      <c r="C213" s="30"/>
      <c r="D213" s="30"/>
      <c r="E213" s="30"/>
    </row>
    <row r="214" spans="2:5" x14ac:dyDescent="0.25">
      <c r="B214" s="30"/>
      <c r="C214" s="30"/>
      <c r="D214" s="30"/>
      <c r="E214" s="30"/>
    </row>
    <row r="215" spans="2:5" x14ac:dyDescent="0.25">
      <c r="B215" s="30"/>
      <c r="C215" s="30"/>
      <c r="D215" s="30"/>
      <c r="E215" s="30"/>
    </row>
    <row r="216" spans="2:5" x14ac:dyDescent="0.25">
      <c r="B216" s="30"/>
      <c r="C216" s="30"/>
      <c r="D216" s="30"/>
      <c r="E216" s="30"/>
    </row>
    <row r="217" spans="2:5" x14ac:dyDescent="0.25">
      <c r="B217" s="30"/>
      <c r="C217" s="30"/>
      <c r="D217" s="30"/>
      <c r="E217" s="30"/>
    </row>
    <row r="218" spans="2:5" x14ac:dyDescent="0.25">
      <c r="B218" s="30"/>
      <c r="C218" s="30"/>
      <c r="D218" s="30"/>
      <c r="E218" s="30"/>
    </row>
    <row r="219" spans="2:5" x14ac:dyDescent="0.25">
      <c r="B219" s="30"/>
      <c r="C219" s="30"/>
      <c r="D219" s="30"/>
      <c r="E219" s="30"/>
    </row>
    <row r="220" spans="2:5" x14ac:dyDescent="0.25">
      <c r="B220" s="30"/>
      <c r="C220" s="30"/>
      <c r="D220" s="30"/>
      <c r="E220" s="30"/>
    </row>
    <row r="221" spans="2:5" x14ac:dyDescent="0.25">
      <c r="B221" s="30"/>
      <c r="C221" s="30"/>
      <c r="D221" s="30"/>
      <c r="E221" s="30"/>
    </row>
    <row r="222" spans="2:5" x14ac:dyDescent="0.25">
      <c r="B222" s="30"/>
      <c r="C222" s="30"/>
      <c r="D222" s="30"/>
      <c r="E222" s="30"/>
    </row>
    <row r="223" spans="2:5" x14ac:dyDescent="0.25">
      <c r="B223" s="30"/>
      <c r="C223" s="30"/>
      <c r="D223" s="30"/>
      <c r="E223" s="30"/>
    </row>
    <row r="224" spans="2:5" x14ac:dyDescent="0.25">
      <c r="B224" s="30"/>
      <c r="C224" s="30"/>
      <c r="D224" s="30"/>
      <c r="E224" s="30"/>
    </row>
    <row r="225" spans="2:5" x14ac:dyDescent="0.25">
      <c r="B225" s="30"/>
      <c r="C225" s="30"/>
      <c r="D225" s="30"/>
      <c r="E225" s="30"/>
    </row>
    <row r="226" spans="2:5" x14ac:dyDescent="0.25">
      <c r="B226" s="30"/>
      <c r="C226" s="30"/>
      <c r="D226" s="30"/>
      <c r="E226" s="30"/>
    </row>
    <row r="227" spans="2:5" x14ac:dyDescent="0.25">
      <c r="B227" s="30"/>
      <c r="C227" s="30"/>
      <c r="D227" s="30"/>
      <c r="E227" s="30"/>
    </row>
    <row r="228" spans="2:5" x14ac:dyDescent="0.25">
      <c r="B228" s="30"/>
      <c r="C228" s="30"/>
      <c r="D228" s="30"/>
      <c r="E228" s="30"/>
    </row>
    <row r="229" spans="2:5" x14ac:dyDescent="0.25">
      <c r="B229" s="30"/>
      <c r="C229" s="30"/>
      <c r="D229" s="30"/>
      <c r="E229" s="30"/>
    </row>
    <row r="230" spans="2:5" x14ac:dyDescent="0.25">
      <c r="B230" s="30"/>
      <c r="C230" s="30"/>
      <c r="D230" s="30"/>
      <c r="E230" s="30"/>
    </row>
    <row r="231" spans="2:5" x14ac:dyDescent="0.25">
      <c r="B231" s="30"/>
      <c r="C231" s="30"/>
      <c r="D231" s="30"/>
      <c r="E231" s="30"/>
    </row>
    <row r="232" spans="2:5" x14ac:dyDescent="0.25">
      <c r="B232" s="30"/>
      <c r="C232" s="30"/>
      <c r="D232" s="30"/>
      <c r="E232" s="30"/>
    </row>
    <row r="233" spans="2:5" x14ac:dyDescent="0.25">
      <c r="B233" s="30"/>
      <c r="C233" s="30"/>
      <c r="D233" s="30"/>
      <c r="E233" s="30"/>
    </row>
    <row r="234" spans="2:5" x14ac:dyDescent="0.25">
      <c r="B234" s="30"/>
      <c r="C234" s="30"/>
      <c r="D234" s="30"/>
      <c r="E234" s="30"/>
    </row>
    <row r="235" spans="2:5" x14ac:dyDescent="0.25">
      <c r="B235" s="30"/>
      <c r="C235" s="30"/>
      <c r="D235" s="30"/>
      <c r="E235" s="30"/>
    </row>
    <row r="236" spans="2:5" x14ac:dyDescent="0.25">
      <c r="B236" s="30"/>
      <c r="C236" s="30"/>
      <c r="D236" s="30"/>
      <c r="E236" s="30"/>
    </row>
    <row r="237" spans="2:5" x14ac:dyDescent="0.25">
      <c r="B237" s="30"/>
      <c r="C237" s="30"/>
      <c r="D237" s="30"/>
      <c r="E237" s="30"/>
    </row>
    <row r="238" spans="2:5" x14ac:dyDescent="0.25">
      <c r="B238" s="30"/>
      <c r="C238" s="30"/>
      <c r="D238" s="30"/>
      <c r="E238" s="30"/>
    </row>
    <row r="239" spans="2:5" x14ac:dyDescent="0.25">
      <c r="B239" s="30"/>
      <c r="C239" s="30"/>
      <c r="D239" s="30"/>
      <c r="E239" s="30"/>
    </row>
    <row r="240" spans="2:5" x14ac:dyDescent="0.25">
      <c r="B240" s="30"/>
      <c r="C240" s="30"/>
      <c r="D240" s="30"/>
      <c r="E240" s="30"/>
    </row>
    <row r="241" spans="2:5" x14ac:dyDescent="0.25">
      <c r="B241" s="30"/>
      <c r="C241" s="30"/>
      <c r="D241" s="30"/>
      <c r="E241" s="30"/>
    </row>
    <row r="242" spans="2:5" x14ac:dyDescent="0.25">
      <c r="B242" s="30"/>
      <c r="C242" s="30"/>
      <c r="D242" s="30"/>
      <c r="E242" s="30"/>
    </row>
    <row r="243" spans="2:5" x14ac:dyDescent="0.25">
      <c r="B243" s="30"/>
      <c r="C243" s="30"/>
      <c r="D243" s="30"/>
      <c r="E243" s="30"/>
    </row>
    <row r="244" spans="2:5" x14ac:dyDescent="0.25">
      <c r="B244" s="30"/>
      <c r="C244" s="30"/>
      <c r="D244" s="30"/>
      <c r="E244" s="30"/>
    </row>
    <row r="245" spans="2:5" x14ac:dyDescent="0.25">
      <c r="B245" s="30"/>
      <c r="C245" s="30"/>
      <c r="D245" s="30"/>
      <c r="E245" s="30"/>
    </row>
    <row r="246" spans="2:5" x14ac:dyDescent="0.25">
      <c r="B246" s="30"/>
      <c r="C246" s="30"/>
      <c r="D246" s="30"/>
      <c r="E246" s="30"/>
    </row>
    <row r="247" spans="2:5" x14ac:dyDescent="0.25">
      <c r="B247" s="30"/>
      <c r="C247" s="30"/>
      <c r="D247" s="30"/>
      <c r="E247" s="30"/>
    </row>
    <row r="248" spans="2:5" x14ac:dyDescent="0.25">
      <c r="B248" s="30"/>
      <c r="C248" s="30"/>
      <c r="D248" s="30"/>
      <c r="E248" s="30"/>
    </row>
    <row r="249" spans="2:5" x14ac:dyDescent="0.25">
      <c r="B249" s="30"/>
      <c r="C249" s="30"/>
      <c r="D249" s="30"/>
      <c r="E249" s="30"/>
    </row>
    <row r="250" spans="2:5" x14ac:dyDescent="0.25">
      <c r="B250" s="30"/>
      <c r="C250" s="30"/>
      <c r="D250" s="30"/>
      <c r="E250" s="30"/>
    </row>
    <row r="251" spans="2:5" x14ac:dyDescent="0.25">
      <c r="B251" s="30"/>
      <c r="C251" s="30"/>
      <c r="D251" s="30"/>
      <c r="E251" s="30"/>
    </row>
    <row r="252" spans="2:5" x14ac:dyDescent="0.25">
      <c r="B252" s="30"/>
      <c r="C252" s="30"/>
      <c r="D252" s="30"/>
      <c r="E252" s="30"/>
    </row>
    <row r="253" spans="2:5" x14ac:dyDescent="0.25">
      <c r="B253" s="30"/>
      <c r="C253" s="30"/>
      <c r="D253" s="30"/>
      <c r="E253" s="30"/>
    </row>
    <row r="254" spans="2:5" x14ac:dyDescent="0.25">
      <c r="B254" s="30"/>
      <c r="C254" s="30"/>
      <c r="D254" s="30"/>
      <c r="E254" s="30"/>
    </row>
    <row r="255" spans="2:5" x14ac:dyDescent="0.25">
      <c r="B255" s="30"/>
      <c r="C255" s="30"/>
      <c r="D255" s="30"/>
      <c r="E255" s="30"/>
    </row>
    <row r="256" spans="2:5" x14ac:dyDescent="0.25">
      <c r="B256" s="30"/>
      <c r="C256" s="30"/>
      <c r="D256" s="30"/>
      <c r="E256" s="30"/>
    </row>
    <row r="257" spans="2:5" x14ac:dyDescent="0.25">
      <c r="B257" s="30"/>
      <c r="C257" s="30"/>
      <c r="D257" s="30"/>
      <c r="E257" s="30"/>
    </row>
    <row r="258" spans="2:5" x14ac:dyDescent="0.25">
      <c r="B258" s="30"/>
      <c r="C258" s="30"/>
      <c r="D258" s="30"/>
      <c r="E258" s="30"/>
    </row>
    <row r="259" spans="2:5" x14ac:dyDescent="0.25">
      <c r="B259" s="30"/>
      <c r="C259" s="30"/>
      <c r="D259" s="30"/>
      <c r="E259" s="30"/>
    </row>
    <row r="260" spans="2:5" x14ac:dyDescent="0.25">
      <c r="B260" s="30"/>
      <c r="C260" s="30"/>
      <c r="D260" s="30"/>
      <c r="E260" s="30"/>
    </row>
    <row r="261" spans="2:5" x14ac:dyDescent="0.25">
      <c r="B261" s="30"/>
      <c r="C261" s="30"/>
      <c r="D261" s="30"/>
      <c r="E261" s="30"/>
    </row>
    <row r="262" spans="2:5" x14ac:dyDescent="0.25">
      <c r="B262" s="30"/>
      <c r="C262" s="30"/>
      <c r="D262" s="30"/>
      <c r="E262" s="30"/>
    </row>
    <row r="263" spans="2:5" x14ac:dyDescent="0.25">
      <c r="B263" s="30"/>
      <c r="C263" s="30"/>
      <c r="D263" s="30"/>
      <c r="E263" s="30"/>
    </row>
    <row r="264" spans="2:5" x14ac:dyDescent="0.25">
      <c r="B264" s="30"/>
      <c r="C264" s="30"/>
      <c r="D264" s="30"/>
      <c r="E264" s="30"/>
    </row>
    <row r="265" spans="2:5" x14ac:dyDescent="0.25">
      <c r="B265" s="30"/>
      <c r="C265" s="30"/>
      <c r="D265" s="30"/>
      <c r="E265" s="30"/>
    </row>
    <row r="266" spans="2:5" x14ac:dyDescent="0.25">
      <c r="B266" s="30"/>
      <c r="C266" s="30"/>
      <c r="D266" s="30"/>
      <c r="E266" s="30"/>
    </row>
    <row r="267" spans="2:5" x14ac:dyDescent="0.25">
      <c r="B267" s="30"/>
      <c r="C267" s="30"/>
      <c r="D267" s="30"/>
      <c r="E267" s="30"/>
    </row>
    <row r="268" spans="2:5" x14ac:dyDescent="0.25">
      <c r="B268" s="30"/>
      <c r="C268" s="30"/>
      <c r="D268" s="30"/>
      <c r="E268" s="30"/>
    </row>
    <row r="269" spans="2:5" x14ac:dyDescent="0.25">
      <c r="B269" s="30"/>
      <c r="C269" s="30"/>
      <c r="D269" s="30"/>
      <c r="E269" s="30"/>
    </row>
    <row r="270" spans="2:5" x14ac:dyDescent="0.25">
      <c r="B270" s="30"/>
      <c r="C270" s="30"/>
      <c r="D270" s="30"/>
      <c r="E270" s="30"/>
    </row>
    <row r="271" spans="2:5" x14ac:dyDescent="0.25">
      <c r="B271" s="30"/>
      <c r="C271" s="30"/>
      <c r="D271" s="30"/>
      <c r="E271" s="30"/>
    </row>
    <row r="272" spans="2:5" x14ac:dyDescent="0.25">
      <c r="B272" s="30"/>
      <c r="C272" s="30"/>
      <c r="D272" s="30"/>
      <c r="E272" s="30"/>
    </row>
    <row r="273" spans="2:5" x14ac:dyDescent="0.25">
      <c r="B273" s="30"/>
      <c r="C273" s="30"/>
      <c r="D273" s="30"/>
      <c r="E273" s="30"/>
    </row>
    <row r="274" spans="2:5" x14ac:dyDescent="0.25">
      <c r="B274" s="30"/>
      <c r="C274" s="30"/>
      <c r="D274" s="30"/>
      <c r="E274" s="30"/>
    </row>
    <row r="275" spans="2:5" x14ac:dyDescent="0.25">
      <c r="B275" s="30"/>
      <c r="C275" s="30"/>
      <c r="D275" s="30"/>
      <c r="E275" s="30"/>
    </row>
    <row r="276" spans="2:5" x14ac:dyDescent="0.25">
      <c r="B276" s="30"/>
      <c r="C276" s="30"/>
      <c r="D276" s="30"/>
      <c r="E276" s="30"/>
    </row>
    <row r="277" spans="2:5" x14ac:dyDescent="0.25">
      <c r="B277" s="30"/>
      <c r="C277" s="30"/>
      <c r="D277" s="30"/>
      <c r="E277" s="30"/>
    </row>
    <row r="278" spans="2:5" x14ac:dyDescent="0.25">
      <c r="B278" s="30"/>
      <c r="C278" s="30"/>
      <c r="D278" s="30"/>
      <c r="E278" s="30"/>
    </row>
    <row r="279" spans="2:5" x14ac:dyDescent="0.25">
      <c r="B279" s="30"/>
      <c r="C279" s="30"/>
      <c r="D279" s="30"/>
      <c r="E279" s="30"/>
    </row>
    <row r="280" spans="2:5" x14ac:dyDescent="0.25">
      <c r="B280" s="30"/>
      <c r="C280" s="30"/>
      <c r="D280" s="30"/>
      <c r="E280" s="30"/>
    </row>
    <row r="281" spans="2:5" x14ac:dyDescent="0.25">
      <c r="B281" s="30"/>
      <c r="C281" s="30"/>
      <c r="D281" s="30"/>
      <c r="E281" s="30"/>
    </row>
    <row r="282" spans="2:5" x14ac:dyDescent="0.25">
      <c r="B282" s="30"/>
      <c r="C282" s="30"/>
      <c r="D282" s="30"/>
      <c r="E282" s="30"/>
    </row>
    <row r="283" spans="2:5" x14ac:dyDescent="0.25">
      <c r="B283" s="30"/>
      <c r="C283" s="30"/>
      <c r="D283" s="30"/>
      <c r="E283" s="30"/>
    </row>
    <row r="284" spans="2:5" x14ac:dyDescent="0.25">
      <c r="B284" s="30"/>
      <c r="C284" s="30"/>
      <c r="D284" s="30"/>
      <c r="E284" s="30"/>
    </row>
    <row r="285" spans="2:5" x14ac:dyDescent="0.25">
      <c r="B285" s="30"/>
      <c r="C285" s="30"/>
      <c r="D285" s="30"/>
      <c r="E285" s="30"/>
    </row>
    <row r="286" spans="2:5" x14ac:dyDescent="0.25">
      <c r="B286" s="30"/>
      <c r="C286" s="30"/>
      <c r="D286" s="30"/>
      <c r="E286" s="30"/>
    </row>
    <row r="287" spans="2:5" x14ac:dyDescent="0.25">
      <c r="B287" s="30"/>
      <c r="C287" s="30"/>
      <c r="D287" s="30"/>
      <c r="E287" s="30"/>
    </row>
    <row r="288" spans="2:5" x14ac:dyDescent="0.25">
      <c r="B288" s="30"/>
      <c r="C288" s="30"/>
      <c r="D288" s="30"/>
      <c r="E288" s="30"/>
    </row>
    <row r="289" spans="2:5" x14ac:dyDescent="0.25">
      <c r="B289" s="30"/>
      <c r="C289" s="30"/>
      <c r="D289" s="30"/>
      <c r="E289" s="30"/>
    </row>
    <row r="290" spans="2:5" x14ac:dyDescent="0.25">
      <c r="B290" s="30"/>
      <c r="C290" s="30"/>
      <c r="D290" s="30"/>
      <c r="E290" s="30"/>
    </row>
    <row r="291" spans="2:5" x14ac:dyDescent="0.25">
      <c r="B291" s="30"/>
      <c r="C291" s="30"/>
      <c r="D291" s="30"/>
      <c r="E291" s="30"/>
    </row>
    <row r="292" spans="2:5" x14ac:dyDescent="0.25">
      <c r="B292" s="30"/>
      <c r="C292" s="30"/>
      <c r="D292" s="30"/>
      <c r="E292" s="30"/>
    </row>
    <row r="293" spans="2:5" x14ac:dyDescent="0.25">
      <c r="B293" s="30"/>
      <c r="C293" s="30"/>
      <c r="D293" s="30"/>
      <c r="E293" s="30"/>
    </row>
    <row r="294" spans="2:5" x14ac:dyDescent="0.25">
      <c r="B294" s="30"/>
      <c r="C294" s="30"/>
      <c r="D294" s="30"/>
      <c r="E294" s="30"/>
    </row>
    <row r="295" spans="2:5" x14ac:dyDescent="0.25">
      <c r="B295" s="30"/>
      <c r="C295" s="30"/>
      <c r="D295" s="30"/>
      <c r="E295" s="30"/>
    </row>
    <row r="296" spans="2:5" x14ac:dyDescent="0.25">
      <c r="B296" s="30"/>
      <c r="C296" s="30"/>
      <c r="D296" s="30"/>
      <c r="E296" s="30"/>
    </row>
    <row r="297" spans="2:5" x14ac:dyDescent="0.25">
      <c r="B297" s="30"/>
      <c r="C297" s="30"/>
      <c r="D297" s="30"/>
      <c r="E297" s="30"/>
    </row>
    <row r="298" spans="2:5" x14ac:dyDescent="0.25">
      <c r="B298" s="30"/>
      <c r="C298" s="30"/>
      <c r="D298" s="30"/>
      <c r="E298" s="30"/>
    </row>
    <row r="299" spans="2:5" x14ac:dyDescent="0.25">
      <c r="B299" s="30"/>
      <c r="C299" s="30"/>
      <c r="D299" s="30"/>
      <c r="E299" s="30"/>
    </row>
    <row r="300" spans="2:5" x14ac:dyDescent="0.25">
      <c r="B300" s="30"/>
      <c r="C300" s="30"/>
      <c r="D300" s="30"/>
      <c r="E300" s="30"/>
    </row>
    <row r="301" spans="2:5" x14ac:dyDescent="0.25">
      <c r="B301" s="30"/>
      <c r="C301" s="30"/>
      <c r="D301" s="30"/>
      <c r="E301" s="30"/>
    </row>
    <row r="302" spans="2:5" x14ac:dyDescent="0.25">
      <c r="B302" s="30"/>
      <c r="C302" s="30"/>
      <c r="D302" s="30"/>
      <c r="E302" s="30"/>
    </row>
    <row r="303" spans="2:5" x14ac:dyDescent="0.25">
      <c r="B303" s="30"/>
      <c r="C303" s="30"/>
      <c r="D303" s="30"/>
      <c r="E303" s="30"/>
    </row>
    <row r="304" spans="2:5" x14ac:dyDescent="0.25">
      <c r="B304" s="30"/>
      <c r="C304" s="30"/>
      <c r="D304" s="30"/>
      <c r="E304" s="30"/>
    </row>
    <row r="305" spans="2:5" x14ac:dyDescent="0.25">
      <c r="B305" s="30"/>
      <c r="C305" s="30"/>
      <c r="D305" s="30"/>
      <c r="E305" s="30"/>
    </row>
    <row r="306" spans="2:5" x14ac:dyDescent="0.25">
      <c r="B306" s="30"/>
      <c r="C306" s="30"/>
      <c r="D306" s="30"/>
      <c r="E306" s="30"/>
    </row>
    <row r="307" spans="2:5" x14ac:dyDescent="0.25">
      <c r="B307" s="30"/>
      <c r="C307" s="30"/>
      <c r="D307" s="30"/>
      <c r="E307" s="30"/>
    </row>
    <row r="308" spans="2:5" x14ac:dyDescent="0.25">
      <c r="B308" s="30"/>
      <c r="C308" s="30"/>
      <c r="D308" s="30"/>
      <c r="E308" s="30"/>
    </row>
    <row r="309" spans="2:5" x14ac:dyDescent="0.25">
      <c r="B309" s="30"/>
      <c r="C309" s="30"/>
      <c r="D309" s="30"/>
      <c r="E309" s="30"/>
    </row>
    <row r="310" spans="2:5" x14ac:dyDescent="0.25">
      <c r="B310" s="30"/>
      <c r="C310" s="30"/>
      <c r="D310" s="30"/>
      <c r="E310" s="30"/>
    </row>
    <row r="311" spans="2:5" x14ac:dyDescent="0.25">
      <c r="B311" s="30"/>
      <c r="C311" s="30"/>
      <c r="D311" s="30"/>
      <c r="E311" s="30"/>
    </row>
    <row r="312" spans="2:5" x14ac:dyDescent="0.25">
      <c r="B312" s="30"/>
      <c r="C312" s="30"/>
      <c r="D312" s="30"/>
      <c r="E312" s="30"/>
    </row>
    <row r="313" spans="2:5" x14ac:dyDescent="0.25">
      <c r="B313" s="30"/>
      <c r="C313" s="30"/>
      <c r="D313" s="30"/>
      <c r="E313" s="30"/>
    </row>
    <row r="314" spans="2:5" x14ac:dyDescent="0.25">
      <c r="B314" s="30"/>
      <c r="C314" s="30"/>
      <c r="D314" s="30"/>
      <c r="E314" s="30"/>
    </row>
    <row r="315" spans="2:5" x14ac:dyDescent="0.25">
      <c r="B315" s="30"/>
      <c r="C315" s="30"/>
      <c r="D315" s="30"/>
      <c r="E315" s="30"/>
    </row>
    <row r="316" spans="2:5" x14ac:dyDescent="0.25">
      <c r="B316" s="30"/>
      <c r="C316" s="30"/>
      <c r="D316" s="30"/>
      <c r="E316" s="30"/>
    </row>
    <row r="317" spans="2:5" x14ac:dyDescent="0.25">
      <c r="B317" s="30"/>
      <c r="C317" s="30"/>
      <c r="D317" s="30"/>
      <c r="E317" s="30"/>
    </row>
    <row r="318" spans="2:5" x14ac:dyDescent="0.25">
      <c r="B318" s="30"/>
      <c r="C318" s="30"/>
      <c r="D318" s="30"/>
      <c r="E318" s="30"/>
    </row>
    <row r="319" spans="2:5" x14ac:dyDescent="0.25">
      <c r="B319" s="30"/>
      <c r="C319" s="30"/>
      <c r="D319" s="30"/>
      <c r="E319" s="30"/>
    </row>
    <row r="320" spans="2:5" x14ac:dyDescent="0.25">
      <c r="B320" s="30"/>
      <c r="C320" s="30"/>
      <c r="D320" s="30"/>
      <c r="E320" s="30"/>
    </row>
    <row r="321" spans="2:5" x14ac:dyDescent="0.25">
      <c r="B321" s="30"/>
      <c r="C321" s="30"/>
      <c r="D321" s="30"/>
      <c r="E321" s="30"/>
    </row>
    <row r="322" spans="2:5" x14ac:dyDescent="0.25">
      <c r="B322" s="30"/>
      <c r="C322" s="30"/>
      <c r="D322" s="30"/>
      <c r="E322" s="30"/>
    </row>
    <row r="323" spans="2:5" x14ac:dyDescent="0.25">
      <c r="B323" s="30"/>
      <c r="C323" s="30"/>
      <c r="D323" s="30"/>
      <c r="E323" s="30"/>
    </row>
    <row r="324" spans="2:5" x14ac:dyDescent="0.25">
      <c r="B324" s="30"/>
      <c r="C324" s="30"/>
      <c r="D324" s="30"/>
      <c r="E324" s="30"/>
    </row>
    <row r="325" spans="2:5" x14ac:dyDescent="0.25">
      <c r="B325" s="30"/>
      <c r="C325" s="30"/>
      <c r="D325" s="30"/>
      <c r="E325" s="30"/>
    </row>
    <row r="326" spans="2:5" x14ac:dyDescent="0.25">
      <c r="B326" s="30"/>
      <c r="C326" s="30"/>
      <c r="D326" s="30"/>
      <c r="E326" s="30"/>
    </row>
    <row r="327" spans="2:5" x14ac:dyDescent="0.25">
      <c r="B327" s="30"/>
      <c r="C327" s="30"/>
      <c r="D327" s="30"/>
      <c r="E327" s="30"/>
    </row>
    <row r="328" spans="2:5" x14ac:dyDescent="0.25">
      <c r="B328" s="30"/>
      <c r="C328" s="30"/>
      <c r="D328" s="30"/>
      <c r="E328" s="30"/>
    </row>
    <row r="329" spans="2:5" x14ac:dyDescent="0.25">
      <c r="B329" s="30"/>
      <c r="C329" s="30"/>
      <c r="D329" s="30"/>
      <c r="E329" s="30"/>
    </row>
    <row r="330" spans="2:5" x14ac:dyDescent="0.25">
      <c r="B330" s="30"/>
      <c r="C330" s="30"/>
      <c r="D330" s="30"/>
      <c r="E330" s="30"/>
    </row>
    <row r="331" spans="2:5" x14ac:dyDescent="0.25">
      <c r="B331" s="30"/>
      <c r="C331" s="30"/>
      <c r="D331" s="30"/>
      <c r="E331" s="30"/>
    </row>
    <row r="332" spans="2:5" x14ac:dyDescent="0.25">
      <c r="B332" s="30"/>
      <c r="C332" s="30"/>
      <c r="D332" s="30"/>
      <c r="E332" s="30"/>
    </row>
    <row r="333" spans="2:5" x14ac:dyDescent="0.25">
      <c r="B333" s="30"/>
      <c r="C333" s="30"/>
      <c r="D333" s="30"/>
      <c r="E333" s="30"/>
    </row>
    <row r="334" spans="2:5" x14ac:dyDescent="0.25">
      <c r="B334" s="30"/>
      <c r="C334" s="30"/>
      <c r="D334" s="30"/>
      <c r="E334" s="30"/>
    </row>
    <row r="335" spans="2:5" x14ac:dyDescent="0.25">
      <c r="B335" s="30"/>
      <c r="C335" s="30"/>
      <c r="D335" s="30"/>
      <c r="E335" s="30"/>
    </row>
    <row r="336" spans="2:5" x14ac:dyDescent="0.25">
      <c r="B336" s="30"/>
      <c r="C336" s="30"/>
      <c r="D336" s="30"/>
      <c r="E336" s="30"/>
    </row>
    <row r="337" spans="2:5" x14ac:dyDescent="0.25">
      <c r="B337" s="30"/>
      <c r="C337" s="30"/>
      <c r="D337" s="30"/>
      <c r="E337" s="30"/>
    </row>
    <row r="338" spans="2:5" x14ac:dyDescent="0.25">
      <c r="B338" s="30"/>
      <c r="C338" s="30"/>
      <c r="D338" s="30"/>
      <c r="E338" s="30"/>
    </row>
    <row r="339" spans="2:5" x14ac:dyDescent="0.25">
      <c r="B339" s="30"/>
      <c r="C339" s="30"/>
      <c r="D339" s="30"/>
      <c r="E339" s="30"/>
    </row>
    <row r="340" spans="2:5" x14ac:dyDescent="0.25">
      <c r="B340" s="30"/>
      <c r="C340" s="30"/>
      <c r="D340" s="30"/>
      <c r="E340" s="30"/>
    </row>
    <row r="341" spans="2:5" x14ac:dyDescent="0.25">
      <c r="B341" s="30"/>
      <c r="C341" s="30"/>
      <c r="D341" s="30"/>
      <c r="E341" s="30"/>
    </row>
    <row r="342" spans="2:5" x14ac:dyDescent="0.25">
      <c r="B342" s="30"/>
      <c r="C342" s="30"/>
      <c r="D342" s="30"/>
      <c r="E342" s="30"/>
    </row>
    <row r="343" spans="2:5" x14ac:dyDescent="0.25">
      <c r="B343" s="30"/>
      <c r="C343" s="30"/>
      <c r="D343" s="30"/>
      <c r="E343" s="30"/>
    </row>
    <row r="344" spans="2:5" x14ac:dyDescent="0.25">
      <c r="B344" s="30"/>
      <c r="C344" s="30"/>
      <c r="D344" s="30"/>
      <c r="E344" s="30"/>
    </row>
    <row r="345" spans="2:5" x14ac:dyDescent="0.25">
      <c r="B345" s="30"/>
      <c r="C345" s="30"/>
      <c r="D345" s="30"/>
      <c r="E345" s="30"/>
    </row>
    <row r="346" spans="2:5" x14ac:dyDescent="0.25">
      <c r="B346" s="30"/>
      <c r="C346" s="30"/>
      <c r="D346" s="30"/>
      <c r="E346" s="30"/>
    </row>
    <row r="347" spans="2:5" x14ac:dyDescent="0.25">
      <c r="B347" s="30"/>
      <c r="C347" s="30"/>
      <c r="D347" s="30"/>
      <c r="E347" s="30"/>
    </row>
    <row r="348" spans="2:5" x14ac:dyDescent="0.25">
      <c r="B348" s="30"/>
      <c r="C348" s="30"/>
      <c r="D348" s="30"/>
      <c r="E348" s="30"/>
    </row>
    <row r="349" spans="2:5" x14ac:dyDescent="0.25">
      <c r="B349" s="30"/>
      <c r="C349" s="30"/>
      <c r="D349" s="30"/>
      <c r="E349" s="30"/>
    </row>
    <row r="350" spans="2:5" x14ac:dyDescent="0.25">
      <c r="B350" s="30"/>
      <c r="C350" s="30"/>
      <c r="D350" s="30"/>
      <c r="E350" s="30"/>
    </row>
    <row r="351" spans="2:5" x14ac:dyDescent="0.25">
      <c r="B351" s="30"/>
      <c r="C351" s="30"/>
      <c r="D351" s="30"/>
      <c r="E351" s="30"/>
    </row>
    <row r="352" spans="2:5" x14ac:dyDescent="0.25">
      <c r="B352" s="30"/>
      <c r="C352" s="30"/>
      <c r="D352" s="30"/>
      <c r="E352" s="30"/>
    </row>
    <row r="353" spans="2:5" x14ac:dyDescent="0.25">
      <c r="B353" s="30"/>
      <c r="C353" s="30"/>
      <c r="D353" s="30"/>
      <c r="E353" s="30"/>
    </row>
    <row r="354" spans="2:5" x14ac:dyDescent="0.25">
      <c r="B354" s="30"/>
      <c r="C354" s="30"/>
      <c r="D354" s="30"/>
      <c r="E354" s="30"/>
    </row>
    <row r="355" spans="2:5" x14ac:dyDescent="0.25">
      <c r="B355" s="30"/>
      <c r="C355" s="30"/>
      <c r="D355" s="30"/>
      <c r="E355" s="30"/>
    </row>
    <row r="356" spans="2:5" x14ac:dyDescent="0.25">
      <c r="B356" s="30"/>
      <c r="C356" s="30"/>
      <c r="D356" s="30"/>
      <c r="E356" s="30"/>
    </row>
    <row r="357" spans="2:5" x14ac:dyDescent="0.25">
      <c r="B357" s="30"/>
      <c r="C357" s="30"/>
      <c r="D357" s="30"/>
      <c r="E357" s="30"/>
    </row>
    <row r="358" spans="2:5" x14ac:dyDescent="0.25">
      <c r="B358" s="30"/>
      <c r="C358" s="30"/>
      <c r="D358" s="30"/>
      <c r="E358" s="30"/>
    </row>
    <row r="359" spans="2:5" x14ac:dyDescent="0.25">
      <c r="B359" s="30"/>
      <c r="C359" s="30"/>
      <c r="D359" s="30"/>
      <c r="E359" s="30"/>
    </row>
    <row r="360" spans="2:5" x14ac:dyDescent="0.25">
      <c r="B360" s="30"/>
      <c r="C360" s="30"/>
      <c r="D360" s="30"/>
      <c r="E360" s="30"/>
    </row>
    <row r="361" spans="2:5" x14ac:dyDescent="0.25">
      <c r="B361" s="30"/>
      <c r="C361" s="30"/>
      <c r="D361" s="30"/>
      <c r="E361" s="30"/>
    </row>
    <row r="362" spans="2:5" x14ac:dyDescent="0.25">
      <c r="B362" s="30"/>
      <c r="C362" s="30"/>
      <c r="D362" s="30"/>
      <c r="E362" s="30"/>
    </row>
    <row r="363" spans="2:5" x14ac:dyDescent="0.25">
      <c r="B363" s="30"/>
      <c r="C363" s="30"/>
      <c r="D363" s="30"/>
      <c r="E363" s="30"/>
    </row>
    <row r="364" spans="2:5" x14ac:dyDescent="0.25">
      <c r="B364" s="30"/>
      <c r="C364" s="30"/>
      <c r="D364" s="30"/>
      <c r="E364" s="30"/>
    </row>
    <row r="365" spans="2:5" x14ac:dyDescent="0.25">
      <c r="B365" s="30"/>
      <c r="C365" s="30"/>
      <c r="D365" s="30"/>
      <c r="E365" s="30"/>
    </row>
    <row r="366" spans="2:5" x14ac:dyDescent="0.25">
      <c r="B366" s="30"/>
      <c r="C366" s="30"/>
      <c r="D366" s="30"/>
      <c r="E366" s="30"/>
    </row>
    <row r="367" spans="2:5" x14ac:dyDescent="0.25">
      <c r="B367" s="30"/>
      <c r="C367" s="30"/>
      <c r="D367" s="30"/>
      <c r="E367" s="30"/>
    </row>
    <row r="368" spans="2:5" x14ac:dyDescent="0.25">
      <c r="B368" s="30"/>
      <c r="C368" s="30"/>
      <c r="D368" s="30"/>
      <c r="E368" s="30"/>
    </row>
    <row r="369" spans="2:5" x14ac:dyDescent="0.25">
      <c r="B369" s="30"/>
      <c r="C369" s="30"/>
      <c r="D369" s="30"/>
      <c r="E369" s="30"/>
    </row>
    <row r="370" spans="2:5" x14ac:dyDescent="0.25">
      <c r="B370" s="30"/>
      <c r="C370" s="30"/>
      <c r="D370" s="30"/>
      <c r="E370" s="30"/>
    </row>
    <row r="371" spans="2:5" x14ac:dyDescent="0.25">
      <c r="B371" s="30"/>
      <c r="C371" s="30"/>
      <c r="D371" s="30"/>
      <c r="E371" s="30"/>
    </row>
    <row r="372" spans="2:5" x14ac:dyDescent="0.25">
      <c r="B372" s="30"/>
      <c r="C372" s="30"/>
      <c r="D372" s="30"/>
      <c r="E372" s="30"/>
    </row>
    <row r="373" spans="2:5" x14ac:dyDescent="0.25">
      <c r="B373" s="30"/>
      <c r="C373" s="30"/>
      <c r="D373" s="30"/>
      <c r="E373" s="30"/>
    </row>
    <row r="374" spans="2:5" x14ac:dyDescent="0.25">
      <c r="B374" s="30"/>
      <c r="C374" s="30"/>
      <c r="D374" s="30"/>
      <c r="E374" s="30"/>
    </row>
    <row r="375" spans="2:5" x14ac:dyDescent="0.25">
      <c r="B375" s="30"/>
      <c r="C375" s="30"/>
      <c r="D375" s="30"/>
      <c r="E375" s="30"/>
    </row>
    <row r="376" spans="2:5" x14ac:dyDescent="0.25">
      <c r="B376" s="30"/>
      <c r="C376" s="30"/>
      <c r="D376" s="30"/>
      <c r="E376" s="30"/>
    </row>
    <row r="377" spans="2:5" x14ac:dyDescent="0.25">
      <c r="B377" s="30"/>
      <c r="C377" s="30"/>
      <c r="D377" s="30"/>
      <c r="E377" s="30"/>
    </row>
    <row r="378" spans="2:5" x14ac:dyDescent="0.25">
      <c r="B378" s="30"/>
      <c r="C378" s="30"/>
      <c r="D378" s="30"/>
      <c r="E378" s="30"/>
    </row>
    <row r="379" spans="2:5" x14ac:dyDescent="0.25">
      <c r="B379" s="30"/>
      <c r="C379" s="30"/>
      <c r="D379" s="30"/>
      <c r="E379" s="30"/>
    </row>
    <row r="380" spans="2:5" x14ac:dyDescent="0.25">
      <c r="B380" s="30"/>
      <c r="C380" s="30"/>
      <c r="D380" s="30"/>
      <c r="E380" s="30"/>
    </row>
    <row r="381" spans="2:5" x14ac:dyDescent="0.25">
      <c r="B381" s="30"/>
      <c r="C381" s="30"/>
      <c r="D381" s="30"/>
      <c r="E381" s="30"/>
    </row>
    <row r="382" spans="2:5" x14ac:dyDescent="0.25">
      <c r="B382" s="30"/>
      <c r="C382" s="30"/>
      <c r="D382" s="30"/>
      <c r="E382" s="30"/>
    </row>
  </sheetData>
  <sheetProtection selectLockedCells="1"/>
  <mergeCells count="12">
    <mergeCell ref="M35:N35"/>
    <mergeCell ref="J1:M3"/>
    <mergeCell ref="B21:C23"/>
    <mergeCell ref="E6:F6"/>
    <mergeCell ref="J40:K40"/>
    <mergeCell ref="J35:K35"/>
    <mergeCell ref="J36:K36"/>
    <mergeCell ref="J37:K37"/>
    <mergeCell ref="J38:K38"/>
    <mergeCell ref="J39:K39"/>
    <mergeCell ref="J6:M8"/>
    <mergeCell ref="L9:M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MultipleMacros2">
                <anchor moveWithCells="1" sizeWithCells="1">
                  <from>
                    <xdr:col>3</xdr:col>
                    <xdr:colOff>152400</xdr:colOff>
                    <xdr:row>9</xdr:row>
                    <xdr:rowOff>142875</xdr:rowOff>
                  </from>
                  <to>
                    <xdr:col>4</xdr:col>
                    <xdr:colOff>495300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LookupSKU">
                <anchor moveWithCells="1" sizeWithCells="1">
                  <from>
                    <xdr:col>4</xdr:col>
                    <xdr:colOff>28575</xdr:colOff>
                    <xdr:row>20</xdr:row>
                    <xdr:rowOff>76200</xdr:rowOff>
                  </from>
                  <to>
                    <xdr:col>5</xdr:col>
                    <xdr:colOff>276225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learCells1">
                <anchor moveWithCells="1" sizeWithCells="1">
                  <from>
                    <xdr:col>5</xdr:col>
                    <xdr:colOff>304800</xdr:colOff>
                    <xdr:row>20</xdr:row>
                    <xdr:rowOff>76200</xdr:rowOff>
                  </from>
                  <to>
                    <xdr:col>6</xdr:col>
                    <xdr:colOff>828675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ells2">
                <anchor moveWithCells="1" sizeWithCells="1">
                  <from>
                    <xdr:col>3</xdr:col>
                    <xdr:colOff>142875</xdr:colOff>
                    <xdr:row>11</xdr:row>
                    <xdr:rowOff>190500</xdr:rowOff>
                  </from>
                  <to>
                    <xdr:col>4</xdr:col>
                    <xdr:colOff>523875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LookupBySKU">
                <anchor moveWithCells="1" sizeWithCells="1">
                  <from>
                    <xdr:col>2</xdr:col>
                    <xdr:colOff>1438275</xdr:colOff>
                    <xdr:row>29</xdr:row>
                    <xdr:rowOff>152400</xdr:rowOff>
                  </from>
                  <to>
                    <xdr:col>3</xdr:col>
                    <xdr:colOff>657225</xdr:colOff>
                    <xdr:row>31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ClearCells3">
                <anchor moveWithCells="1" sizeWithCells="1">
                  <from>
                    <xdr:col>4</xdr:col>
                    <xdr:colOff>9525</xdr:colOff>
                    <xdr:row>29</xdr:row>
                    <xdr:rowOff>152400</xdr:rowOff>
                  </from>
                  <to>
                    <xdr:col>5</xdr:col>
                    <xdr:colOff>257175</xdr:colOff>
                    <xdr:row>31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Calculateweight">
                <anchor moveWithCells="1" sizeWithCells="1">
                  <from>
                    <xdr:col>2</xdr:col>
                    <xdr:colOff>1438275</xdr:colOff>
                    <xdr:row>38</xdr:row>
                    <xdr:rowOff>152400</xdr:rowOff>
                  </from>
                  <to>
                    <xdr:col>3</xdr:col>
                    <xdr:colOff>657225</xdr:colOff>
                    <xdr:row>40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1" name="Button 16">
              <controlPr defaultSize="0" print="0" autoFill="0" autoPict="0" macro="[0]!ClearCellsweightcalc">
                <anchor moveWithCells="1" sizeWithCells="1">
                  <from>
                    <xdr:col>4</xdr:col>
                    <xdr:colOff>9525</xdr:colOff>
                    <xdr:row>38</xdr:row>
                    <xdr:rowOff>152400</xdr:rowOff>
                  </from>
                  <to>
                    <xdr:col>5</xdr:col>
                    <xdr:colOff>257175</xdr:colOff>
                    <xdr:row>40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2" name="Button 18">
              <controlPr defaultSize="0" print="0" autoFill="0" autoPict="0" macro="[0]!GenerateSmartNumber">
                <anchor moveWithCells="1" sizeWithCells="1">
                  <from>
                    <xdr:col>15</xdr:col>
                    <xdr:colOff>228600</xdr:colOff>
                    <xdr:row>6</xdr:row>
                    <xdr:rowOff>0</xdr:rowOff>
                  </from>
                  <to>
                    <xdr:col>15</xdr:col>
                    <xdr:colOff>1143000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3" name="Button 19">
              <controlPr defaultSize="0" print="0" autoFill="0" autoPict="0" macro="[0]!ClearCells_CGSMARTGENERATOR5">
                <anchor moveWithCells="1" sizeWithCells="1">
                  <from>
                    <xdr:col>15</xdr:col>
                    <xdr:colOff>1209675</xdr:colOff>
                    <xdr:row>5</xdr:row>
                    <xdr:rowOff>190500</xdr:rowOff>
                  </from>
                  <to>
                    <xdr:col>15</xdr:col>
                    <xdr:colOff>2095500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4" name="Button 21">
              <controlPr defaultSize="0" print="0" autoFill="0" autoPict="0" macro="[0]!ReadSmartNumber">
                <anchor moveWithCells="1" sizeWithCells="1">
                  <from>
                    <xdr:col>18</xdr:col>
                    <xdr:colOff>276225</xdr:colOff>
                    <xdr:row>12</xdr:row>
                    <xdr:rowOff>161925</xdr:rowOff>
                  </from>
                  <to>
                    <xdr:col>19</xdr:col>
                    <xdr:colOff>542925</xdr:colOff>
                    <xdr:row>14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5" name="Button 23">
              <controlPr defaultSize="0" print="0" autoFill="0" autoPict="0" macro="[0]!ClearCells_CGSMARTGENERATOR2">
                <anchor moveWithCells="1" sizeWithCells="1">
                  <from>
                    <xdr:col>18</xdr:col>
                    <xdr:colOff>276225</xdr:colOff>
                    <xdr:row>14</xdr:row>
                    <xdr:rowOff>152400</xdr:rowOff>
                  </from>
                  <to>
                    <xdr:col>19</xdr:col>
                    <xdr:colOff>533400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6" name="Button 27">
              <controlPr defaultSize="0" print="0" autoFill="0" autoPict="0" macro="[0]!ClearCells_converstion">
                <anchor moveWithCells="1" sizeWithCells="1">
                  <from>
                    <xdr:col>5</xdr:col>
                    <xdr:colOff>581025</xdr:colOff>
                    <xdr:row>6</xdr:row>
                    <xdr:rowOff>85725</xdr:rowOff>
                  </from>
                  <to>
                    <xdr:col>6</xdr:col>
                    <xdr:colOff>866775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7" name="Button 29">
              <controlPr defaultSize="0" print="0" autoFill="0" autoPict="0" macro="[0]!SmartNumber_cutlength_calculator">
                <anchor moveWithCells="1" sizeWithCells="1">
                  <from>
                    <xdr:col>13</xdr:col>
                    <xdr:colOff>390525</xdr:colOff>
                    <xdr:row>9</xdr:row>
                    <xdr:rowOff>104775</xdr:rowOff>
                  </from>
                  <to>
                    <xdr:col>14</xdr:col>
                    <xdr:colOff>180975</xdr:colOff>
                    <xdr:row>11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8" name="Button 30">
              <controlPr defaultSize="0" print="0" autoFill="0" autoPict="0" macro="[0]!ClearCells4">
                <anchor moveWithCells="1" sizeWithCells="1">
                  <from>
                    <xdr:col>13</xdr:col>
                    <xdr:colOff>381000</xdr:colOff>
                    <xdr:row>11</xdr:row>
                    <xdr:rowOff>180975</xdr:rowOff>
                  </from>
                  <to>
                    <xdr:col>14</xdr:col>
                    <xdr:colOff>180975</xdr:colOff>
                    <xdr:row>13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9" name="Button 31">
              <controlPr defaultSize="0" print="0" autoFill="0" autoPict="0" macro="[0]!PrintRange">
                <anchor moveWithCells="1" sizeWithCells="1">
                  <from>
                    <xdr:col>13</xdr:col>
                    <xdr:colOff>381000</xdr:colOff>
                    <xdr:row>13</xdr:row>
                    <xdr:rowOff>180975</xdr:rowOff>
                  </from>
                  <to>
                    <xdr:col>14</xdr:col>
                    <xdr:colOff>180975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0" name="Button 34">
              <controlPr defaultSize="0" print="0" autoFill="0" autoPict="0" macro="[0]!UpdatePricing">
                <anchor moveWithCells="1" sizeWithCells="1">
                  <from>
                    <xdr:col>2</xdr:col>
                    <xdr:colOff>1438275</xdr:colOff>
                    <xdr:row>48</xdr:row>
                    <xdr:rowOff>152400</xdr:rowOff>
                  </from>
                  <to>
                    <xdr:col>3</xdr:col>
                    <xdr:colOff>657225</xdr:colOff>
                    <xdr:row>50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1" name="Button 35">
              <controlPr defaultSize="0" print="0" autoFill="0" autoPict="0" macro="[0]!ClearCells_SWpricing">
                <anchor moveWithCells="1" sizeWithCells="1">
                  <from>
                    <xdr:col>4</xdr:col>
                    <xdr:colOff>9525</xdr:colOff>
                    <xdr:row>48</xdr:row>
                    <xdr:rowOff>152400</xdr:rowOff>
                  </from>
                  <to>
                    <xdr:col>5</xdr:col>
                    <xdr:colOff>257175</xdr:colOff>
                    <xdr:row>50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22" name="Button 36">
              <controlPr defaultSize="0" print="0" autoFill="0" autoPict="0" macro="[0]!ClearAll_Cells">
                <anchor moveWithCells="1" sizeWithCells="1">
                  <from>
                    <xdr:col>5</xdr:col>
                    <xdr:colOff>66675</xdr:colOff>
                    <xdr:row>9</xdr:row>
                    <xdr:rowOff>180975</xdr:rowOff>
                  </from>
                  <to>
                    <xdr:col>7</xdr:col>
                    <xdr:colOff>152400</xdr:colOff>
                    <xdr:row>11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3" name="Button 41">
              <controlPr defaultSize="0" print="0" autoFill="0" autoPict="0" macro="[0]!CalculateShippingBoxes">
                <anchor moveWithCells="1" sizeWithCells="1">
                  <from>
                    <xdr:col>5</xdr:col>
                    <xdr:colOff>247650</xdr:colOff>
                    <xdr:row>56</xdr:row>
                    <xdr:rowOff>0</xdr:rowOff>
                  </from>
                  <to>
                    <xdr:col>6</xdr:col>
                    <xdr:colOff>590550</xdr:colOff>
                    <xdr:row>56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4" name="Button 42">
              <controlPr defaultSize="0" print="0" autoFill="0" autoPict="0" macro="[0]!ClearCells_Shipping">
                <anchor moveWithCells="1" sizeWithCells="1">
                  <from>
                    <xdr:col>5</xdr:col>
                    <xdr:colOff>247650</xdr:colOff>
                    <xdr:row>56</xdr:row>
                    <xdr:rowOff>371475</xdr:rowOff>
                  </from>
                  <to>
                    <xdr:col>6</xdr:col>
                    <xdr:colOff>590550</xdr:colOff>
                    <xdr:row>58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5" name="Button 43">
              <controlPr defaultSize="0" print="0" autoFill="0" autoPict="0" macro="[0]!RunPythonExe">
                <anchor moveWithCells="1" sizeWithCells="1">
                  <from>
                    <xdr:col>13</xdr:col>
                    <xdr:colOff>371475</xdr:colOff>
                    <xdr:row>15</xdr:row>
                    <xdr:rowOff>200025</xdr:rowOff>
                  </from>
                  <to>
                    <xdr:col>14</xdr:col>
                    <xdr:colOff>209550</xdr:colOff>
                    <xdr:row>17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9">
        <x14:dataValidation type="list" allowBlank="1" showInputMessage="1" showErrorMessage="1" xr:uid="{BAFFE815-DEDE-46A6-B174-B92288295F81}">
          <x14:formula1>
            <xm:f>'Data Validation'!$B$5:$B$8</xm:f>
          </x14:formula1>
          <xm:sqref>B19 B38 B58</xm:sqref>
        </x14:dataValidation>
        <x14:dataValidation type="list" allowBlank="1" showInputMessage="1" showErrorMessage="1" xr:uid="{C5842292-C4AC-4DF2-BBB5-A61F43E44F44}">
          <x14:formula1>
            <xm:f>'Data Validation'!$C$5:$C$11</xm:f>
          </x14:formula1>
          <xm:sqref>C19 C38</xm:sqref>
        </x14:dataValidation>
        <x14:dataValidation type="list" allowBlank="1" showInputMessage="1" showErrorMessage="1" xr:uid="{2BB1E21E-7130-4BB0-B787-98A14F9C9EEC}">
          <x14:formula1>
            <xm:f>'Data Validation'!$B$17:$B$21</xm:f>
          </x14:formula1>
          <xm:sqref>R5 J5</xm:sqref>
        </x14:dataValidation>
        <x14:dataValidation type="list" allowBlank="1" showInputMessage="1" showErrorMessage="1" xr:uid="{981CBA1A-440A-498A-A166-A217AF974B99}">
          <x14:formula1>
            <xm:f>'Data Validation'!$C$17:$C$18</xm:f>
          </x14:formula1>
          <xm:sqref>S5 K5</xm:sqref>
        </x14:dataValidation>
        <x14:dataValidation type="list" allowBlank="1" showInputMessage="1" showErrorMessage="1" xr:uid="{D0E095B2-0B11-4790-B611-CAB278A9A1B7}">
          <x14:formula1>
            <xm:f>'Data Validation'!$D$17:$D$18</xm:f>
          </x14:formula1>
          <xm:sqref>T5 L5</xm:sqref>
        </x14:dataValidation>
        <x14:dataValidation type="list" allowBlank="1" showInputMessage="1" showErrorMessage="1" xr:uid="{6DFC9937-1002-46D6-B6A2-F004CDB23627}">
          <x14:formula1>
            <xm:f>'Data Validation'!$B$7:$B$8</xm:f>
          </x14:formula1>
          <xm:sqref>B48</xm:sqref>
        </x14:dataValidation>
        <x14:dataValidation type="list" allowBlank="1" showInputMessage="1" showErrorMessage="1" xr:uid="{DD564674-5E99-41B0-9564-AC3AA8BD5E87}">
          <x14:formula1>
            <xm:f>'Data Validation'!$C$7:$C$9</xm:f>
          </x14:formula1>
          <xm:sqref>C48</xm:sqref>
        </x14:dataValidation>
        <x14:dataValidation type="list" allowBlank="1" showInputMessage="1" showErrorMessage="1" xr:uid="{132AC532-6C64-437F-8137-47AABFCAEC3D}">
          <x14:formula1>
            <xm:f>'Data Validation'!$I$2:$I$13</xm:f>
          </x14:formula1>
          <xm:sqref>V5:W5 V18:W18 N5:O5</xm:sqref>
        </x14:dataValidation>
        <x14:dataValidation type="list" allowBlank="1" showInputMessage="1" showErrorMessage="1" xr:uid="{ADAB27FF-449F-422A-813D-7FF130B10CB1}">
          <x14:formula1>
            <xm:f>'Data Validation'!$C$5:$C$9</xm:f>
          </x14:formula1>
          <xm:sqref>C58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0AFC12-503B-48B6-B692-F5DCC4196287}">
  <sheetPr codeName="Sheet10"/>
  <dimension ref="H1:P21"/>
  <sheetViews>
    <sheetView workbookViewId="0">
      <selection activeCell="L31" sqref="L31"/>
    </sheetView>
  </sheetViews>
  <sheetFormatPr defaultColWidth="8.85546875" defaultRowHeight="15" x14ac:dyDescent="0.25"/>
  <cols>
    <col min="1" max="1" width="9.7109375" bestFit="1" customWidth="1"/>
  </cols>
  <sheetData>
    <row r="1" spans="8:16" x14ac:dyDescent="0.25">
      <c r="H1" t="s">
        <v>350</v>
      </c>
      <c r="I1" t="s">
        <v>317</v>
      </c>
      <c r="J1" t="s">
        <v>318</v>
      </c>
      <c r="O1" t="s">
        <v>351</v>
      </c>
      <c r="P1" t="s">
        <v>352</v>
      </c>
    </row>
    <row r="2" spans="8:16" x14ac:dyDescent="0.25">
      <c r="H2" t="s">
        <v>322</v>
      </c>
      <c r="I2">
        <v>11</v>
      </c>
      <c r="J2">
        <v>2</v>
      </c>
      <c r="O2" t="s">
        <v>317</v>
      </c>
      <c r="P2">
        <v>1015</v>
      </c>
    </row>
    <row r="3" spans="8:16" x14ac:dyDescent="0.25">
      <c r="H3" t="s">
        <v>323</v>
      </c>
      <c r="I3">
        <v>27</v>
      </c>
      <c r="J3">
        <v>12</v>
      </c>
      <c r="O3" t="s">
        <v>318</v>
      </c>
      <c r="P3">
        <v>197</v>
      </c>
    </row>
    <row r="4" spans="8:16" x14ac:dyDescent="0.25">
      <c r="H4" t="s">
        <v>324</v>
      </c>
      <c r="I4">
        <v>10</v>
      </c>
      <c r="J4">
        <v>0</v>
      </c>
    </row>
    <row r="5" spans="8:16" x14ac:dyDescent="0.25">
      <c r="H5" t="s">
        <v>325</v>
      </c>
      <c r="I5">
        <v>2</v>
      </c>
      <c r="J5">
        <v>7</v>
      </c>
    </row>
    <row r="6" spans="8:16" x14ac:dyDescent="0.25">
      <c r="H6" t="s">
        <v>326</v>
      </c>
      <c r="I6">
        <v>18</v>
      </c>
      <c r="J6">
        <v>0</v>
      </c>
    </row>
    <row r="7" spans="8:16" x14ac:dyDescent="0.25">
      <c r="H7" t="s">
        <v>327</v>
      </c>
      <c r="I7">
        <v>15</v>
      </c>
      <c r="J7">
        <v>2</v>
      </c>
    </row>
    <row r="8" spans="8:16" x14ac:dyDescent="0.25">
      <c r="H8" t="s">
        <v>328</v>
      </c>
      <c r="I8">
        <v>13</v>
      </c>
      <c r="J8">
        <v>0</v>
      </c>
    </row>
    <row r="9" spans="8:16" x14ac:dyDescent="0.25">
      <c r="H9" t="s">
        <v>329</v>
      </c>
      <c r="I9">
        <v>13</v>
      </c>
      <c r="J9">
        <v>3</v>
      </c>
    </row>
    <row r="10" spans="8:16" x14ac:dyDescent="0.25">
      <c r="H10" t="s">
        <v>330</v>
      </c>
      <c r="I10">
        <v>219</v>
      </c>
      <c r="J10">
        <v>15</v>
      </c>
    </row>
    <row r="11" spans="8:16" x14ac:dyDescent="0.25">
      <c r="H11" t="s">
        <v>331</v>
      </c>
      <c r="I11">
        <v>146</v>
      </c>
      <c r="J11">
        <v>29</v>
      </c>
    </row>
    <row r="12" spans="8:16" x14ac:dyDescent="0.25">
      <c r="H12" t="s">
        <v>332</v>
      </c>
      <c r="I12">
        <v>23</v>
      </c>
      <c r="J12">
        <v>4</v>
      </c>
    </row>
    <row r="13" spans="8:16" x14ac:dyDescent="0.25">
      <c r="H13" t="s">
        <v>333</v>
      </c>
      <c r="I13">
        <v>79</v>
      </c>
      <c r="J13">
        <v>38</v>
      </c>
    </row>
    <row r="14" spans="8:16" x14ac:dyDescent="0.25">
      <c r="H14" t="s">
        <v>334</v>
      </c>
      <c r="I14">
        <v>2</v>
      </c>
      <c r="J14">
        <v>0</v>
      </c>
    </row>
    <row r="15" spans="8:16" x14ac:dyDescent="0.25">
      <c r="H15" t="s">
        <v>335</v>
      </c>
      <c r="I15">
        <v>146</v>
      </c>
      <c r="J15">
        <v>8</v>
      </c>
    </row>
    <row r="16" spans="8:16" x14ac:dyDescent="0.25">
      <c r="H16" t="s">
        <v>336</v>
      </c>
      <c r="I16">
        <v>1</v>
      </c>
      <c r="J16">
        <v>0</v>
      </c>
    </row>
    <row r="17" spans="8:10" x14ac:dyDescent="0.25">
      <c r="H17" t="s">
        <v>337</v>
      </c>
      <c r="I17">
        <v>17</v>
      </c>
      <c r="J17">
        <v>3</v>
      </c>
    </row>
    <row r="18" spans="8:10" x14ac:dyDescent="0.25">
      <c r="H18" t="s">
        <v>338</v>
      </c>
      <c r="I18">
        <v>5</v>
      </c>
      <c r="J18">
        <v>0</v>
      </c>
    </row>
    <row r="19" spans="8:10" x14ac:dyDescent="0.25">
      <c r="H19" t="s">
        <v>339</v>
      </c>
      <c r="I19">
        <v>38</v>
      </c>
      <c r="J19">
        <v>4</v>
      </c>
    </row>
    <row r="20" spans="8:10" x14ac:dyDescent="0.25">
      <c r="H20" t="s">
        <v>340</v>
      </c>
      <c r="I20">
        <v>6</v>
      </c>
      <c r="J20">
        <v>3</v>
      </c>
    </row>
    <row r="21" spans="8:10" x14ac:dyDescent="0.25">
      <c r="H21" t="s">
        <v>341</v>
      </c>
      <c r="I21">
        <v>29</v>
      </c>
      <c r="J21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354E5-D6DF-447F-856D-A69FACEDA71B}">
  <sheetPr codeName="Sheet11"/>
  <dimension ref="A1"/>
  <sheetViews>
    <sheetView workbookViewId="0">
      <selection activeCell="K25" sqref="K25"/>
    </sheetView>
  </sheetViews>
  <sheetFormatPr defaultRowHeight="15" x14ac:dyDescent="0.25"/>
  <cols>
    <col min="2" max="2" width="11.140625" bestFit="1" customWidth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0A69F-1EFF-4804-A40A-4F7675B14546}">
  <sheetPr codeName="Sheet12"/>
  <dimension ref="A1:C4"/>
  <sheetViews>
    <sheetView workbookViewId="0">
      <selection activeCell="J26" sqref="J26"/>
    </sheetView>
  </sheetViews>
  <sheetFormatPr defaultColWidth="8.85546875" defaultRowHeight="15" x14ac:dyDescent="0.25"/>
  <cols>
    <col min="1" max="1" width="9.7109375" bestFit="1" customWidth="1"/>
  </cols>
  <sheetData>
    <row r="1" spans="1:3" x14ac:dyDescent="0.25">
      <c r="A1" t="s">
        <v>350</v>
      </c>
      <c r="B1" t="s">
        <v>317</v>
      </c>
      <c r="C1" t="s">
        <v>318</v>
      </c>
    </row>
    <row r="2" spans="1:3" x14ac:dyDescent="0.25">
      <c r="A2" t="s">
        <v>353</v>
      </c>
      <c r="B2">
        <v>1488</v>
      </c>
      <c r="C2">
        <v>230</v>
      </c>
    </row>
    <row r="3" spans="1:3" x14ac:dyDescent="0.25">
      <c r="A3" t="s">
        <v>218</v>
      </c>
      <c r="B3">
        <v>282</v>
      </c>
      <c r="C3">
        <v>80</v>
      </c>
    </row>
    <row r="4" spans="1:3" x14ac:dyDescent="0.25">
      <c r="A4" t="s">
        <v>216</v>
      </c>
      <c r="B4">
        <v>945</v>
      </c>
      <c r="C4">
        <v>95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924DE4-C415-4929-82A1-32D0DDEDB7B8}">
  <sheetPr codeName="Sheet9"/>
  <dimension ref="A1:D203"/>
  <sheetViews>
    <sheetView workbookViewId="0">
      <selection activeCell="I32" sqref="I32"/>
    </sheetView>
  </sheetViews>
  <sheetFormatPr defaultColWidth="8.85546875" defaultRowHeight="15" x14ac:dyDescent="0.25"/>
  <cols>
    <col min="1" max="1" width="10.7109375" bestFit="1" customWidth="1"/>
    <col min="4" max="4" width="9.140625"/>
  </cols>
  <sheetData>
    <row r="1" spans="1:4" x14ac:dyDescent="0.25">
      <c r="A1" s="130">
        <v>45490</v>
      </c>
      <c r="B1">
        <v>6</v>
      </c>
      <c r="C1">
        <v>2</v>
      </c>
      <c r="D1">
        <v>33.333333333333336</v>
      </c>
    </row>
    <row r="2" spans="1:4" x14ac:dyDescent="0.25">
      <c r="A2" s="130">
        <v>45491</v>
      </c>
      <c r="B2">
        <v>12</v>
      </c>
      <c r="C2">
        <v>6</v>
      </c>
      <c r="D2">
        <v>50</v>
      </c>
    </row>
    <row r="3" spans="1:4" x14ac:dyDescent="0.25">
      <c r="A3" s="130">
        <v>45492</v>
      </c>
      <c r="B3">
        <v>8</v>
      </c>
      <c r="C3">
        <v>3</v>
      </c>
      <c r="D3">
        <v>37.5</v>
      </c>
    </row>
    <row r="4" spans="1:4" x14ac:dyDescent="0.25">
      <c r="A4" s="130">
        <v>45495</v>
      </c>
      <c r="B4">
        <v>5</v>
      </c>
      <c r="C4">
        <v>2</v>
      </c>
      <c r="D4">
        <v>40</v>
      </c>
    </row>
    <row r="5" spans="1:4" x14ac:dyDescent="0.25">
      <c r="A5" s="130">
        <v>45496</v>
      </c>
      <c r="B5">
        <v>5</v>
      </c>
      <c r="C5">
        <v>0</v>
      </c>
      <c r="D5">
        <v>0</v>
      </c>
    </row>
    <row r="6" spans="1:4" x14ac:dyDescent="0.25">
      <c r="A6" s="130">
        <v>45497</v>
      </c>
      <c r="B6">
        <v>12</v>
      </c>
      <c r="C6">
        <v>8</v>
      </c>
      <c r="D6">
        <v>66.666666666666671</v>
      </c>
    </row>
    <row r="7" spans="1:4" x14ac:dyDescent="0.25">
      <c r="A7" s="130">
        <v>45498</v>
      </c>
      <c r="B7">
        <v>9</v>
      </c>
      <c r="C7">
        <v>7</v>
      </c>
      <c r="D7">
        <v>77.777777777777771</v>
      </c>
    </row>
    <row r="8" spans="1:4" x14ac:dyDescent="0.25">
      <c r="A8" s="130">
        <v>45499</v>
      </c>
      <c r="B8">
        <v>5</v>
      </c>
      <c r="C8">
        <v>3</v>
      </c>
      <c r="D8">
        <v>60</v>
      </c>
    </row>
    <row r="9" spans="1:4" x14ac:dyDescent="0.25">
      <c r="A9" s="130">
        <v>45502</v>
      </c>
      <c r="B9">
        <v>7</v>
      </c>
      <c r="C9">
        <v>6</v>
      </c>
      <c r="D9">
        <v>85.714285714285708</v>
      </c>
    </row>
    <row r="10" spans="1:4" x14ac:dyDescent="0.25">
      <c r="A10" s="130">
        <v>45503</v>
      </c>
      <c r="B10">
        <v>10</v>
      </c>
      <c r="C10">
        <v>8</v>
      </c>
      <c r="D10">
        <v>80</v>
      </c>
    </row>
    <row r="11" spans="1:4" x14ac:dyDescent="0.25">
      <c r="A11" s="130">
        <v>45504</v>
      </c>
      <c r="B11">
        <v>6</v>
      </c>
      <c r="C11">
        <v>5</v>
      </c>
      <c r="D11">
        <v>83.333333333333329</v>
      </c>
    </row>
    <row r="12" spans="1:4" x14ac:dyDescent="0.25">
      <c r="A12" s="130">
        <v>45505</v>
      </c>
      <c r="B12">
        <v>1</v>
      </c>
      <c r="C12">
        <v>0</v>
      </c>
      <c r="D12">
        <v>0</v>
      </c>
    </row>
    <row r="13" spans="1:4" x14ac:dyDescent="0.25">
      <c r="A13" s="130">
        <v>45506</v>
      </c>
      <c r="B13">
        <v>14</v>
      </c>
      <c r="C13">
        <v>13</v>
      </c>
      <c r="D13">
        <v>92.857142857142861</v>
      </c>
    </row>
    <row r="14" spans="1:4" x14ac:dyDescent="0.25">
      <c r="A14" s="130">
        <v>45509</v>
      </c>
      <c r="B14">
        <v>6</v>
      </c>
      <c r="C14">
        <v>5</v>
      </c>
      <c r="D14">
        <v>83.333333333333329</v>
      </c>
    </row>
    <row r="15" spans="1:4" x14ac:dyDescent="0.25">
      <c r="A15" s="130">
        <v>45510</v>
      </c>
      <c r="B15">
        <v>4</v>
      </c>
      <c r="C15">
        <v>3</v>
      </c>
      <c r="D15">
        <v>75</v>
      </c>
    </row>
    <row r="16" spans="1:4" x14ac:dyDescent="0.25">
      <c r="A16" s="130">
        <v>45511</v>
      </c>
      <c r="B16">
        <v>9</v>
      </c>
      <c r="C16">
        <v>6</v>
      </c>
      <c r="D16">
        <v>66.666666666666671</v>
      </c>
    </row>
    <row r="17" spans="1:4" x14ac:dyDescent="0.25">
      <c r="A17" s="130">
        <v>45512</v>
      </c>
      <c r="B17">
        <v>5</v>
      </c>
      <c r="C17">
        <v>2</v>
      </c>
      <c r="D17">
        <v>40</v>
      </c>
    </row>
    <row r="18" spans="1:4" x14ac:dyDescent="0.25">
      <c r="A18" s="130">
        <v>45513</v>
      </c>
      <c r="B18">
        <v>7</v>
      </c>
      <c r="C18">
        <v>3</v>
      </c>
      <c r="D18">
        <v>42.857142857142854</v>
      </c>
    </row>
    <row r="19" spans="1:4" x14ac:dyDescent="0.25">
      <c r="A19" s="130">
        <v>45516</v>
      </c>
      <c r="B19">
        <v>8</v>
      </c>
      <c r="C19">
        <v>2</v>
      </c>
      <c r="D19">
        <v>25</v>
      </c>
    </row>
    <row r="20" spans="1:4" x14ac:dyDescent="0.25">
      <c r="A20" s="130">
        <v>45517</v>
      </c>
      <c r="B20">
        <v>6</v>
      </c>
      <c r="C20">
        <v>3</v>
      </c>
      <c r="D20">
        <v>50</v>
      </c>
    </row>
    <row r="21" spans="1:4" x14ac:dyDescent="0.25">
      <c r="A21" s="130">
        <v>45518</v>
      </c>
      <c r="B21">
        <v>5</v>
      </c>
      <c r="C21">
        <v>5</v>
      </c>
      <c r="D21">
        <v>100</v>
      </c>
    </row>
    <row r="22" spans="1:4" x14ac:dyDescent="0.25">
      <c r="A22" s="130">
        <v>45519</v>
      </c>
      <c r="B22">
        <v>1</v>
      </c>
      <c r="C22">
        <v>1</v>
      </c>
      <c r="D22">
        <v>100</v>
      </c>
    </row>
    <row r="23" spans="1:4" x14ac:dyDescent="0.25">
      <c r="A23" s="130">
        <v>45520</v>
      </c>
      <c r="B23">
        <v>6</v>
      </c>
      <c r="C23">
        <v>5</v>
      </c>
      <c r="D23">
        <v>83.333333333333329</v>
      </c>
    </row>
    <row r="24" spans="1:4" x14ac:dyDescent="0.25">
      <c r="A24" s="130">
        <v>45523</v>
      </c>
      <c r="B24">
        <v>2</v>
      </c>
      <c r="C24">
        <v>2</v>
      </c>
      <c r="D24">
        <v>100</v>
      </c>
    </row>
    <row r="25" spans="1:4" x14ac:dyDescent="0.25">
      <c r="A25" s="130">
        <v>45524</v>
      </c>
      <c r="B25">
        <v>2</v>
      </c>
      <c r="C25">
        <v>2</v>
      </c>
      <c r="D25">
        <v>100</v>
      </c>
    </row>
    <row r="26" spans="1:4" x14ac:dyDescent="0.25">
      <c r="A26" s="130">
        <v>45525</v>
      </c>
      <c r="B26">
        <v>2</v>
      </c>
      <c r="C26">
        <v>2</v>
      </c>
      <c r="D26">
        <v>100</v>
      </c>
    </row>
    <row r="27" spans="1:4" x14ac:dyDescent="0.25">
      <c r="A27" s="130">
        <v>45526</v>
      </c>
      <c r="B27">
        <v>4</v>
      </c>
      <c r="C27">
        <v>2</v>
      </c>
      <c r="D27">
        <v>50</v>
      </c>
    </row>
    <row r="28" spans="1:4" x14ac:dyDescent="0.25">
      <c r="A28" s="130">
        <v>45527</v>
      </c>
      <c r="B28">
        <v>7</v>
      </c>
      <c r="C28">
        <v>4</v>
      </c>
      <c r="D28">
        <v>57.142857142857146</v>
      </c>
    </row>
    <row r="29" spans="1:4" x14ac:dyDescent="0.25">
      <c r="A29" s="130">
        <v>45530</v>
      </c>
      <c r="B29">
        <v>3</v>
      </c>
      <c r="C29">
        <v>2</v>
      </c>
      <c r="D29">
        <v>66.666666666666671</v>
      </c>
    </row>
    <row r="30" spans="1:4" x14ac:dyDescent="0.25">
      <c r="A30" s="130">
        <v>45531</v>
      </c>
      <c r="B30">
        <v>4</v>
      </c>
      <c r="C30">
        <v>3</v>
      </c>
      <c r="D30">
        <v>75</v>
      </c>
    </row>
    <row r="31" spans="1:4" x14ac:dyDescent="0.25">
      <c r="A31" s="130">
        <v>45532</v>
      </c>
      <c r="B31">
        <v>5</v>
      </c>
      <c r="C31">
        <v>4</v>
      </c>
      <c r="D31">
        <v>80</v>
      </c>
    </row>
    <row r="32" spans="1:4" x14ac:dyDescent="0.25">
      <c r="A32" s="130">
        <v>45533</v>
      </c>
      <c r="B32">
        <v>2</v>
      </c>
      <c r="C32">
        <v>0</v>
      </c>
      <c r="D32">
        <v>0</v>
      </c>
    </row>
    <row r="33" spans="1:4" x14ac:dyDescent="0.25">
      <c r="A33" s="130">
        <v>45534</v>
      </c>
      <c r="B33">
        <v>2</v>
      </c>
      <c r="C33">
        <v>0</v>
      </c>
      <c r="D33">
        <v>0</v>
      </c>
    </row>
    <row r="34" spans="1:4" x14ac:dyDescent="0.25">
      <c r="A34" s="130">
        <v>45538</v>
      </c>
      <c r="B34">
        <v>2</v>
      </c>
      <c r="C34">
        <v>0</v>
      </c>
      <c r="D34">
        <v>0</v>
      </c>
    </row>
    <row r="35" spans="1:4" x14ac:dyDescent="0.25">
      <c r="A35" s="130">
        <v>45540</v>
      </c>
      <c r="B35">
        <v>4</v>
      </c>
      <c r="C35">
        <v>4</v>
      </c>
      <c r="D35">
        <v>100</v>
      </c>
    </row>
    <row r="36" spans="1:4" x14ac:dyDescent="0.25">
      <c r="A36" s="130">
        <v>45541</v>
      </c>
      <c r="B36">
        <v>3</v>
      </c>
      <c r="C36">
        <v>3</v>
      </c>
      <c r="D36">
        <v>100</v>
      </c>
    </row>
    <row r="37" spans="1:4" x14ac:dyDescent="0.25">
      <c r="A37" s="130">
        <v>45544</v>
      </c>
      <c r="B37">
        <v>3</v>
      </c>
      <c r="C37">
        <v>2</v>
      </c>
      <c r="D37">
        <v>66.666666666666671</v>
      </c>
    </row>
    <row r="38" spans="1:4" x14ac:dyDescent="0.25">
      <c r="A38" s="130">
        <v>45545</v>
      </c>
      <c r="B38">
        <v>4</v>
      </c>
      <c r="C38">
        <v>4</v>
      </c>
      <c r="D38">
        <v>100</v>
      </c>
    </row>
    <row r="39" spans="1:4" x14ac:dyDescent="0.25">
      <c r="A39" s="130">
        <v>45546</v>
      </c>
      <c r="B39">
        <v>3</v>
      </c>
      <c r="C39">
        <v>2</v>
      </c>
      <c r="D39">
        <v>66.666666666666671</v>
      </c>
    </row>
    <row r="40" spans="1:4" x14ac:dyDescent="0.25">
      <c r="A40" s="130">
        <v>45547</v>
      </c>
      <c r="B40">
        <v>1</v>
      </c>
      <c r="C40">
        <v>1</v>
      </c>
      <c r="D40">
        <v>100</v>
      </c>
    </row>
    <row r="41" spans="1:4" x14ac:dyDescent="0.25">
      <c r="A41" s="130">
        <v>45548</v>
      </c>
      <c r="B41">
        <v>4</v>
      </c>
      <c r="C41">
        <v>3</v>
      </c>
      <c r="D41">
        <v>75</v>
      </c>
    </row>
    <row r="42" spans="1:4" x14ac:dyDescent="0.25">
      <c r="A42" s="130">
        <v>45552</v>
      </c>
      <c r="B42">
        <v>1</v>
      </c>
      <c r="C42">
        <v>1</v>
      </c>
      <c r="D42">
        <v>100</v>
      </c>
    </row>
    <row r="43" spans="1:4" x14ac:dyDescent="0.25">
      <c r="A43" s="130">
        <v>45553</v>
      </c>
      <c r="B43">
        <v>13</v>
      </c>
      <c r="C43">
        <v>13</v>
      </c>
      <c r="D43">
        <v>100</v>
      </c>
    </row>
    <row r="44" spans="1:4" x14ac:dyDescent="0.25">
      <c r="A44" s="130">
        <v>45554</v>
      </c>
      <c r="B44">
        <v>5</v>
      </c>
      <c r="C44">
        <v>4</v>
      </c>
      <c r="D44">
        <v>80</v>
      </c>
    </row>
    <row r="45" spans="1:4" x14ac:dyDescent="0.25">
      <c r="A45" s="130">
        <v>45555</v>
      </c>
      <c r="B45">
        <v>7</v>
      </c>
      <c r="C45">
        <v>6</v>
      </c>
      <c r="D45">
        <v>85.714285714285708</v>
      </c>
    </row>
    <row r="46" spans="1:4" x14ac:dyDescent="0.25">
      <c r="A46" s="130">
        <v>45556</v>
      </c>
      <c r="B46">
        <v>3</v>
      </c>
      <c r="C46">
        <v>1</v>
      </c>
      <c r="D46">
        <v>33.333333333333336</v>
      </c>
    </row>
    <row r="47" spans="1:4" x14ac:dyDescent="0.25">
      <c r="A47" s="130">
        <v>45558</v>
      </c>
      <c r="B47">
        <v>2</v>
      </c>
      <c r="C47">
        <v>2</v>
      </c>
      <c r="D47">
        <v>100</v>
      </c>
    </row>
    <row r="48" spans="1:4" x14ac:dyDescent="0.25">
      <c r="A48" s="130">
        <v>45559</v>
      </c>
      <c r="B48">
        <v>4</v>
      </c>
      <c r="C48">
        <v>2</v>
      </c>
      <c r="D48">
        <v>50</v>
      </c>
    </row>
    <row r="49" spans="1:4" x14ac:dyDescent="0.25">
      <c r="A49" s="130">
        <v>45560</v>
      </c>
      <c r="B49">
        <v>5</v>
      </c>
      <c r="C49">
        <v>4</v>
      </c>
      <c r="D49">
        <v>80</v>
      </c>
    </row>
    <row r="50" spans="1:4" x14ac:dyDescent="0.25">
      <c r="A50" s="130">
        <v>45561</v>
      </c>
      <c r="B50">
        <v>4</v>
      </c>
      <c r="C50">
        <v>4</v>
      </c>
      <c r="D50">
        <v>100</v>
      </c>
    </row>
    <row r="51" spans="1:4" x14ac:dyDescent="0.25">
      <c r="A51" s="130">
        <v>45562</v>
      </c>
      <c r="B51">
        <v>20</v>
      </c>
      <c r="C51">
        <v>16</v>
      </c>
      <c r="D51">
        <v>80</v>
      </c>
    </row>
    <row r="52" spans="1:4" x14ac:dyDescent="0.25">
      <c r="A52" s="130">
        <v>45565</v>
      </c>
      <c r="B52">
        <v>2</v>
      </c>
      <c r="C52">
        <v>1</v>
      </c>
      <c r="D52">
        <v>50</v>
      </c>
    </row>
    <row r="53" spans="1:4" x14ac:dyDescent="0.25">
      <c r="A53" s="130">
        <v>45566</v>
      </c>
      <c r="B53">
        <v>3</v>
      </c>
      <c r="C53">
        <v>3</v>
      </c>
      <c r="D53">
        <v>100</v>
      </c>
    </row>
    <row r="54" spans="1:4" x14ac:dyDescent="0.25">
      <c r="A54" s="130">
        <v>45567</v>
      </c>
      <c r="B54">
        <v>9</v>
      </c>
      <c r="C54">
        <v>9</v>
      </c>
      <c r="D54">
        <v>100</v>
      </c>
    </row>
    <row r="55" spans="1:4" x14ac:dyDescent="0.25">
      <c r="A55" s="130">
        <v>45569</v>
      </c>
      <c r="B55">
        <v>3</v>
      </c>
      <c r="C55">
        <v>3</v>
      </c>
      <c r="D55">
        <v>100</v>
      </c>
    </row>
    <row r="56" spans="1:4" x14ac:dyDescent="0.25">
      <c r="A56" s="130">
        <v>45572</v>
      </c>
      <c r="B56">
        <v>5</v>
      </c>
      <c r="C56">
        <v>5</v>
      </c>
      <c r="D56">
        <v>100</v>
      </c>
    </row>
    <row r="57" spans="1:4" x14ac:dyDescent="0.25">
      <c r="A57" s="130">
        <v>45573</v>
      </c>
      <c r="B57">
        <v>12</v>
      </c>
      <c r="C57">
        <v>12</v>
      </c>
      <c r="D57">
        <v>100</v>
      </c>
    </row>
    <row r="58" spans="1:4" x14ac:dyDescent="0.25">
      <c r="A58" s="130">
        <v>45579</v>
      </c>
      <c r="B58">
        <v>12</v>
      </c>
      <c r="C58">
        <v>12</v>
      </c>
      <c r="D58">
        <v>100</v>
      </c>
    </row>
    <row r="59" spans="1:4" x14ac:dyDescent="0.25">
      <c r="A59" s="130">
        <v>45580</v>
      </c>
      <c r="B59">
        <v>6</v>
      </c>
      <c r="C59">
        <v>6</v>
      </c>
      <c r="D59">
        <v>100</v>
      </c>
    </row>
    <row r="60" spans="1:4" x14ac:dyDescent="0.25">
      <c r="A60" s="130">
        <v>45582</v>
      </c>
      <c r="B60">
        <v>4</v>
      </c>
      <c r="C60">
        <v>4</v>
      </c>
      <c r="D60">
        <v>100</v>
      </c>
    </row>
    <row r="61" spans="1:4" x14ac:dyDescent="0.25">
      <c r="A61" s="130">
        <v>45583</v>
      </c>
      <c r="B61">
        <v>2</v>
      </c>
      <c r="C61">
        <v>2</v>
      </c>
      <c r="D61">
        <v>100</v>
      </c>
    </row>
    <row r="62" spans="1:4" x14ac:dyDescent="0.25">
      <c r="A62" s="130">
        <v>45586</v>
      </c>
      <c r="B62">
        <v>5</v>
      </c>
      <c r="C62">
        <v>5</v>
      </c>
      <c r="D62">
        <v>100</v>
      </c>
    </row>
    <row r="63" spans="1:4" x14ac:dyDescent="0.25">
      <c r="A63" s="130">
        <v>45587</v>
      </c>
      <c r="B63">
        <v>3</v>
      </c>
      <c r="C63">
        <v>2</v>
      </c>
      <c r="D63">
        <v>66.666666666666671</v>
      </c>
    </row>
    <row r="64" spans="1:4" x14ac:dyDescent="0.25">
      <c r="A64" s="130">
        <v>45588</v>
      </c>
      <c r="B64">
        <v>12</v>
      </c>
      <c r="C64">
        <v>12</v>
      </c>
      <c r="D64">
        <v>100</v>
      </c>
    </row>
    <row r="65" spans="1:4" x14ac:dyDescent="0.25">
      <c r="A65" s="130">
        <v>45590</v>
      </c>
      <c r="B65">
        <v>7</v>
      </c>
      <c r="C65">
        <v>7</v>
      </c>
      <c r="D65">
        <v>100</v>
      </c>
    </row>
    <row r="66" spans="1:4" x14ac:dyDescent="0.25">
      <c r="A66" s="130">
        <v>45593</v>
      </c>
      <c r="B66">
        <v>2</v>
      </c>
      <c r="C66">
        <v>2</v>
      </c>
      <c r="D66">
        <v>100</v>
      </c>
    </row>
    <row r="67" spans="1:4" x14ac:dyDescent="0.25">
      <c r="A67" s="130">
        <v>45594</v>
      </c>
      <c r="B67">
        <v>7</v>
      </c>
      <c r="C67">
        <v>7</v>
      </c>
      <c r="D67">
        <v>100</v>
      </c>
    </row>
    <row r="68" spans="1:4" x14ac:dyDescent="0.25">
      <c r="A68" s="130">
        <v>45595</v>
      </c>
      <c r="B68">
        <v>4</v>
      </c>
      <c r="C68">
        <v>4</v>
      </c>
      <c r="D68">
        <v>100</v>
      </c>
    </row>
    <row r="69" spans="1:4" x14ac:dyDescent="0.25">
      <c r="A69" s="130">
        <v>45596</v>
      </c>
      <c r="B69">
        <v>3</v>
      </c>
      <c r="C69">
        <v>3</v>
      </c>
      <c r="D69">
        <v>100</v>
      </c>
    </row>
    <row r="70" spans="1:4" x14ac:dyDescent="0.25">
      <c r="A70" s="130">
        <v>45597</v>
      </c>
      <c r="B70">
        <v>2</v>
      </c>
      <c r="C70">
        <v>2</v>
      </c>
      <c r="D70">
        <v>100</v>
      </c>
    </row>
    <row r="71" spans="1:4" x14ac:dyDescent="0.25">
      <c r="A71" s="130">
        <v>45600</v>
      </c>
      <c r="B71">
        <v>4</v>
      </c>
      <c r="C71">
        <v>4</v>
      </c>
      <c r="D71">
        <v>100</v>
      </c>
    </row>
    <row r="72" spans="1:4" x14ac:dyDescent="0.25">
      <c r="A72" s="130">
        <v>45601</v>
      </c>
      <c r="B72">
        <v>6</v>
      </c>
      <c r="C72">
        <v>6</v>
      </c>
      <c r="D72">
        <v>100</v>
      </c>
    </row>
    <row r="73" spans="1:4" x14ac:dyDescent="0.25">
      <c r="A73" s="130">
        <v>45602</v>
      </c>
      <c r="B73">
        <v>5</v>
      </c>
      <c r="C73">
        <v>5</v>
      </c>
      <c r="D73">
        <v>100</v>
      </c>
    </row>
    <row r="74" spans="1:4" x14ac:dyDescent="0.25">
      <c r="A74" s="130">
        <v>45603</v>
      </c>
      <c r="B74">
        <v>2</v>
      </c>
      <c r="C74">
        <v>2</v>
      </c>
      <c r="D74">
        <v>100</v>
      </c>
    </row>
    <row r="75" spans="1:4" x14ac:dyDescent="0.25">
      <c r="A75" s="130">
        <v>45604</v>
      </c>
      <c r="B75">
        <v>7</v>
      </c>
      <c r="C75">
        <v>7</v>
      </c>
      <c r="D75">
        <v>100</v>
      </c>
    </row>
    <row r="76" spans="1:4" x14ac:dyDescent="0.25">
      <c r="A76" s="130">
        <v>45608</v>
      </c>
      <c r="B76">
        <v>4</v>
      </c>
      <c r="C76">
        <v>4</v>
      </c>
      <c r="D76">
        <v>100</v>
      </c>
    </row>
    <row r="77" spans="1:4" x14ac:dyDescent="0.25">
      <c r="A77" s="130">
        <v>45609</v>
      </c>
      <c r="B77">
        <v>3</v>
      </c>
      <c r="C77">
        <v>3</v>
      </c>
      <c r="D77">
        <v>100</v>
      </c>
    </row>
    <row r="78" spans="1:4" x14ac:dyDescent="0.25">
      <c r="A78" s="130">
        <v>45610</v>
      </c>
      <c r="B78">
        <v>6</v>
      </c>
      <c r="C78">
        <v>6</v>
      </c>
      <c r="D78">
        <v>100</v>
      </c>
    </row>
    <row r="79" spans="1:4" x14ac:dyDescent="0.25">
      <c r="A79" s="130">
        <v>45611</v>
      </c>
      <c r="B79">
        <v>5</v>
      </c>
      <c r="C79">
        <v>5</v>
      </c>
      <c r="D79">
        <v>100</v>
      </c>
    </row>
    <row r="80" spans="1:4" x14ac:dyDescent="0.25">
      <c r="A80" s="130">
        <v>45614</v>
      </c>
      <c r="B80">
        <v>12</v>
      </c>
      <c r="C80">
        <v>12</v>
      </c>
      <c r="D80">
        <v>100</v>
      </c>
    </row>
    <row r="81" spans="1:4" x14ac:dyDescent="0.25">
      <c r="A81" s="130">
        <v>45615</v>
      </c>
      <c r="B81">
        <v>10</v>
      </c>
      <c r="C81">
        <v>10</v>
      </c>
      <c r="D81">
        <v>100</v>
      </c>
    </row>
    <row r="82" spans="1:4" x14ac:dyDescent="0.25">
      <c r="A82" s="130">
        <v>45616</v>
      </c>
      <c r="B82">
        <v>2</v>
      </c>
      <c r="C82">
        <v>2</v>
      </c>
      <c r="D82">
        <v>100</v>
      </c>
    </row>
    <row r="83" spans="1:4" x14ac:dyDescent="0.25">
      <c r="A83" s="130">
        <v>45617</v>
      </c>
      <c r="B83">
        <v>7</v>
      </c>
      <c r="C83">
        <v>7</v>
      </c>
      <c r="D83">
        <v>100</v>
      </c>
    </row>
    <row r="84" spans="1:4" x14ac:dyDescent="0.25">
      <c r="A84" s="130">
        <v>45618</v>
      </c>
      <c r="B84">
        <v>9</v>
      </c>
      <c r="C84">
        <v>9</v>
      </c>
      <c r="D84">
        <v>100</v>
      </c>
    </row>
    <row r="85" spans="1:4" x14ac:dyDescent="0.25">
      <c r="A85" s="130">
        <v>45621</v>
      </c>
      <c r="B85">
        <v>2</v>
      </c>
      <c r="C85">
        <v>2</v>
      </c>
      <c r="D85">
        <v>100</v>
      </c>
    </row>
    <row r="86" spans="1:4" x14ac:dyDescent="0.25">
      <c r="A86" s="130">
        <v>45622</v>
      </c>
      <c r="B86">
        <v>7</v>
      </c>
      <c r="C86">
        <v>7</v>
      </c>
      <c r="D86">
        <v>100</v>
      </c>
    </row>
    <row r="87" spans="1:4" x14ac:dyDescent="0.25">
      <c r="A87" s="130">
        <v>45623</v>
      </c>
      <c r="B87">
        <v>3</v>
      </c>
      <c r="C87">
        <v>3</v>
      </c>
      <c r="D87">
        <v>100</v>
      </c>
    </row>
    <row r="88" spans="1:4" x14ac:dyDescent="0.25">
      <c r="A88" s="130">
        <v>45628</v>
      </c>
      <c r="B88">
        <v>3</v>
      </c>
      <c r="C88">
        <v>3</v>
      </c>
      <c r="D88">
        <v>100</v>
      </c>
    </row>
    <row r="89" spans="1:4" x14ac:dyDescent="0.25">
      <c r="A89" s="130">
        <v>45629</v>
      </c>
      <c r="B89">
        <v>4</v>
      </c>
      <c r="C89">
        <v>4</v>
      </c>
      <c r="D89">
        <v>100</v>
      </c>
    </row>
    <row r="90" spans="1:4" x14ac:dyDescent="0.25">
      <c r="A90" s="130">
        <v>45630</v>
      </c>
      <c r="B90">
        <v>6</v>
      </c>
      <c r="C90">
        <v>6</v>
      </c>
      <c r="D90">
        <v>100</v>
      </c>
    </row>
    <row r="91" spans="1:4" x14ac:dyDescent="0.25">
      <c r="A91" s="130">
        <v>45631</v>
      </c>
      <c r="B91">
        <v>12</v>
      </c>
      <c r="C91">
        <v>11</v>
      </c>
      <c r="D91">
        <v>91.666666666666671</v>
      </c>
    </row>
    <row r="92" spans="1:4" x14ac:dyDescent="0.25">
      <c r="A92" s="130">
        <v>45632</v>
      </c>
      <c r="B92">
        <v>11</v>
      </c>
      <c r="C92">
        <v>11</v>
      </c>
      <c r="D92">
        <v>100</v>
      </c>
    </row>
    <row r="93" spans="1:4" x14ac:dyDescent="0.25">
      <c r="A93" s="130">
        <v>45636</v>
      </c>
      <c r="B93">
        <v>9</v>
      </c>
      <c r="C93">
        <v>8</v>
      </c>
      <c r="D93">
        <v>88.888888888888886</v>
      </c>
    </row>
    <row r="94" spans="1:4" x14ac:dyDescent="0.25">
      <c r="A94" s="130">
        <v>45637</v>
      </c>
      <c r="B94">
        <v>5</v>
      </c>
      <c r="C94">
        <v>5</v>
      </c>
      <c r="D94">
        <v>100</v>
      </c>
    </row>
    <row r="95" spans="1:4" x14ac:dyDescent="0.25">
      <c r="A95" s="130">
        <v>45638</v>
      </c>
      <c r="B95">
        <v>9</v>
      </c>
      <c r="C95">
        <v>9</v>
      </c>
      <c r="D95">
        <v>100</v>
      </c>
    </row>
    <row r="96" spans="1:4" x14ac:dyDescent="0.25">
      <c r="A96" s="130">
        <v>45642</v>
      </c>
      <c r="B96">
        <v>18</v>
      </c>
      <c r="C96">
        <v>18</v>
      </c>
      <c r="D96">
        <v>100</v>
      </c>
    </row>
    <row r="97" spans="1:4" x14ac:dyDescent="0.25">
      <c r="A97" s="130">
        <v>45643</v>
      </c>
      <c r="B97">
        <v>6</v>
      </c>
      <c r="C97">
        <v>6</v>
      </c>
      <c r="D97">
        <v>100</v>
      </c>
    </row>
    <row r="98" spans="1:4" x14ac:dyDescent="0.25">
      <c r="A98" s="130">
        <v>45644</v>
      </c>
      <c r="B98">
        <v>14</v>
      </c>
      <c r="C98">
        <v>13</v>
      </c>
      <c r="D98">
        <v>92.857142857142861</v>
      </c>
    </row>
    <row r="99" spans="1:4" x14ac:dyDescent="0.25">
      <c r="A99" s="130">
        <v>45645</v>
      </c>
      <c r="B99">
        <v>4</v>
      </c>
      <c r="C99">
        <v>4</v>
      </c>
      <c r="D99">
        <v>100</v>
      </c>
    </row>
    <row r="100" spans="1:4" x14ac:dyDescent="0.25">
      <c r="A100" s="130">
        <v>45646</v>
      </c>
      <c r="B100">
        <v>2</v>
      </c>
      <c r="C100">
        <v>2</v>
      </c>
      <c r="D100">
        <v>100</v>
      </c>
    </row>
    <row r="101" spans="1:4" x14ac:dyDescent="0.25">
      <c r="A101" s="130">
        <v>45649</v>
      </c>
      <c r="B101">
        <v>1</v>
      </c>
      <c r="C101">
        <v>1</v>
      </c>
      <c r="D101">
        <v>100</v>
      </c>
    </row>
    <row r="102" spans="1:4" x14ac:dyDescent="0.25">
      <c r="A102" s="130">
        <v>45652</v>
      </c>
      <c r="B102">
        <v>5</v>
      </c>
      <c r="C102">
        <v>4</v>
      </c>
      <c r="D102">
        <v>80</v>
      </c>
    </row>
    <row r="103" spans="1:4" x14ac:dyDescent="0.25">
      <c r="A103" s="130">
        <v>45653</v>
      </c>
      <c r="B103">
        <v>1</v>
      </c>
      <c r="C103">
        <v>1</v>
      </c>
      <c r="D103">
        <v>100</v>
      </c>
    </row>
    <row r="104" spans="1:4" x14ac:dyDescent="0.25">
      <c r="A104" s="130">
        <v>45659</v>
      </c>
      <c r="B104">
        <v>2</v>
      </c>
      <c r="C104">
        <v>1</v>
      </c>
      <c r="D104">
        <v>50</v>
      </c>
    </row>
    <row r="105" spans="1:4" x14ac:dyDescent="0.25">
      <c r="A105" s="130">
        <v>45660</v>
      </c>
      <c r="B105">
        <v>4</v>
      </c>
      <c r="C105">
        <v>2</v>
      </c>
      <c r="D105">
        <v>50</v>
      </c>
    </row>
    <row r="106" spans="1:4" x14ac:dyDescent="0.25">
      <c r="A106" s="130">
        <v>45663</v>
      </c>
      <c r="B106">
        <v>16</v>
      </c>
      <c r="C106">
        <v>13</v>
      </c>
      <c r="D106">
        <v>81.25</v>
      </c>
    </row>
    <row r="107" spans="1:4" x14ac:dyDescent="0.25">
      <c r="A107" s="130">
        <v>45664</v>
      </c>
      <c r="B107">
        <v>3</v>
      </c>
      <c r="C107">
        <v>3</v>
      </c>
      <c r="D107">
        <v>100</v>
      </c>
    </row>
    <row r="108" spans="1:4" x14ac:dyDescent="0.25">
      <c r="A108" s="130">
        <v>45665</v>
      </c>
      <c r="B108">
        <v>4</v>
      </c>
      <c r="C108">
        <v>4</v>
      </c>
      <c r="D108">
        <v>100</v>
      </c>
    </row>
    <row r="109" spans="1:4" x14ac:dyDescent="0.25">
      <c r="A109" s="130">
        <v>45666</v>
      </c>
      <c r="B109">
        <v>1</v>
      </c>
      <c r="C109">
        <v>1</v>
      </c>
      <c r="D109">
        <v>100</v>
      </c>
    </row>
    <row r="110" spans="1:4" x14ac:dyDescent="0.25">
      <c r="A110" s="130">
        <v>45667</v>
      </c>
      <c r="B110">
        <v>10</v>
      </c>
      <c r="C110">
        <v>10</v>
      </c>
      <c r="D110">
        <v>100</v>
      </c>
    </row>
    <row r="111" spans="1:4" x14ac:dyDescent="0.25">
      <c r="A111" s="130">
        <v>45670</v>
      </c>
      <c r="B111">
        <v>4</v>
      </c>
      <c r="C111">
        <v>3</v>
      </c>
      <c r="D111">
        <v>75</v>
      </c>
    </row>
    <row r="112" spans="1:4" x14ac:dyDescent="0.25">
      <c r="A112" s="130">
        <v>45671</v>
      </c>
      <c r="B112">
        <v>4</v>
      </c>
      <c r="C112">
        <v>3</v>
      </c>
      <c r="D112">
        <v>75</v>
      </c>
    </row>
    <row r="113" spans="1:4" x14ac:dyDescent="0.25">
      <c r="A113" s="130">
        <v>45672</v>
      </c>
      <c r="B113">
        <v>15</v>
      </c>
      <c r="C113">
        <v>12</v>
      </c>
      <c r="D113">
        <v>80</v>
      </c>
    </row>
    <row r="114" spans="1:4" x14ac:dyDescent="0.25">
      <c r="A114" s="130">
        <v>45673</v>
      </c>
      <c r="B114">
        <v>12</v>
      </c>
      <c r="C114">
        <v>12</v>
      </c>
      <c r="D114">
        <v>100</v>
      </c>
    </row>
    <row r="115" spans="1:4" x14ac:dyDescent="0.25">
      <c r="A115" s="130">
        <v>45674</v>
      </c>
      <c r="B115">
        <v>6</v>
      </c>
      <c r="C115">
        <v>6</v>
      </c>
      <c r="D115">
        <v>100</v>
      </c>
    </row>
    <row r="116" spans="1:4" x14ac:dyDescent="0.25">
      <c r="A116" s="130">
        <v>45677</v>
      </c>
      <c r="B116">
        <v>19</v>
      </c>
      <c r="C116">
        <v>17</v>
      </c>
      <c r="D116">
        <v>89.473684210526315</v>
      </c>
    </row>
    <row r="117" spans="1:4" x14ac:dyDescent="0.25">
      <c r="A117" s="130">
        <v>45678</v>
      </c>
      <c r="B117">
        <v>9</v>
      </c>
      <c r="C117">
        <v>8</v>
      </c>
      <c r="D117">
        <v>88.888888888888886</v>
      </c>
    </row>
    <row r="118" spans="1:4" x14ac:dyDescent="0.25">
      <c r="A118" s="130">
        <v>45679</v>
      </c>
      <c r="B118">
        <v>7</v>
      </c>
      <c r="C118">
        <v>7</v>
      </c>
      <c r="D118">
        <v>100</v>
      </c>
    </row>
    <row r="119" spans="1:4" x14ac:dyDescent="0.25">
      <c r="A119" s="130">
        <v>45680</v>
      </c>
      <c r="B119">
        <v>6</v>
      </c>
      <c r="C119">
        <v>6</v>
      </c>
      <c r="D119">
        <v>100</v>
      </c>
    </row>
    <row r="120" spans="1:4" x14ac:dyDescent="0.25">
      <c r="A120" s="130">
        <v>45681</v>
      </c>
      <c r="B120">
        <v>6</v>
      </c>
      <c r="C120">
        <v>6</v>
      </c>
      <c r="D120">
        <v>100</v>
      </c>
    </row>
    <row r="121" spans="1:4" x14ac:dyDescent="0.25">
      <c r="A121" s="130">
        <v>45684</v>
      </c>
      <c r="B121">
        <v>3</v>
      </c>
      <c r="C121">
        <v>2</v>
      </c>
      <c r="D121">
        <v>66.666666666666671</v>
      </c>
    </row>
    <row r="122" spans="1:4" x14ac:dyDescent="0.25">
      <c r="A122" s="130">
        <v>45685</v>
      </c>
      <c r="B122">
        <v>5</v>
      </c>
      <c r="C122">
        <v>3</v>
      </c>
      <c r="D122">
        <v>60</v>
      </c>
    </row>
    <row r="123" spans="1:4" x14ac:dyDescent="0.25">
      <c r="A123" s="130">
        <v>45686</v>
      </c>
      <c r="B123">
        <v>9</v>
      </c>
      <c r="C123">
        <v>8</v>
      </c>
      <c r="D123">
        <v>88.888888888888886</v>
      </c>
    </row>
    <row r="124" spans="1:4" x14ac:dyDescent="0.25">
      <c r="A124" s="130">
        <v>45687</v>
      </c>
      <c r="B124">
        <v>14</v>
      </c>
      <c r="C124">
        <v>14</v>
      </c>
      <c r="D124">
        <v>100</v>
      </c>
    </row>
    <row r="125" spans="1:4" x14ac:dyDescent="0.25">
      <c r="A125" s="130">
        <v>45688</v>
      </c>
      <c r="B125">
        <v>6</v>
      </c>
      <c r="C125">
        <v>6</v>
      </c>
      <c r="D125">
        <v>100</v>
      </c>
    </row>
    <row r="126" spans="1:4" x14ac:dyDescent="0.25">
      <c r="A126" s="130">
        <v>45691</v>
      </c>
      <c r="B126">
        <v>23</v>
      </c>
      <c r="C126">
        <v>18</v>
      </c>
      <c r="D126">
        <v>78.260869565217391</v>
      </c>
    </row>
    <row r="127" spans="1:4" x14ac:dyDescent="0.25">
      <c r="A127" s="130">
        <v>45692</v>
      </c>
      <c r="B127">
        <v>11</v>
      </c>
      <c r="C127">
        <v>11</v>
      </c>
      <c r="D127">
        <v>100</v>
      </c>
    </row>
    <row r="128" spans="1:4" x14ac:dyDescent="0.25">
      <c r="A128" s="130">
        <v>45693</v>
      </c>
      <c r="B128">
        <v>2</v>
      </c>
      <c r="C128">
        <v>2</v>
      </c>
      <c r="D128">
        <v>100</v>
      </c>
    </row>
    <row r="129" spans="1:4" x14ac:dyDescent="0.25">
      <c r="A129" s="130">
        <v>45694</v>
      </c>
      <c r="B129">
        <v>19</v>
      </c>
      <c r="C129">
        <v>17</v>
      </c>
      <c r="D129">
        <v>89.473684210526315</v>
      </c>
    </row>
    <row r="130" spans="1:4" x14ac:dyDescent="0.25">
      <c r="A130" s="130">
        <v>45695</v>
      </c>
      <c r="B130">
        <v>5</v>
      </c>
      <c r="C130">
        <v>3</v>
      </c>
      <c r="D130">
        <v>60</v>
      </c>
    </row>
    <row r="131" spans="1:4" x14ac:dyDescent="0.25">
      <c r="A131" s="130">
        <v>45698</v>
      </c>
      <c r="B131">
        <v>9</v>
      </c>
      <c r="C131">
        <v>9</v>
      </c>
      <c r="D131">
        <v>100</v>
      </c>
    </row>
    <row r="132" spans="1:4" x14ac:dyDescent="0.25">
      <c r="A132" s="130">
        <v>45699</v>
      </c>
      <c r="B132">
        <v>23</v>
      </c>
      <c r="C132">
        <v>23</v>
      </c>
      <c r="D132">
        <v>100</v>
      </c>
    </row>
    <row r="133" spans="1:4" x14ac:dyDescent="0.25">
      <c r="A133" s="130">
        <v>45700</v>
      </c>
      <c r="B133">
        <v>15</v>
      </c>
      <c r="C133">
        <v>14</v>
      </c>
      <c r="D133">
        <v>93.333333333333329</v>
      </c>
    </row>
    <row r="134" spans="1:4" x14ac:dyDescent="0.25">
      <c r="A134" s="130">
        <v>45701</v>
      </c>
      <c r="B134">
        <v>19</v>
      </c>
      <c r="C134">
        <v>18</v>
      </c>
      <c r="D134">
        <v>94.736842105263165</v>
      </c>
    </row>
    <row r="135" spans="1:4" x14ac:dyDescent="0.25">
      <c r="A135" s="130">
        <v>45702</v>
      </c>
      <c r="B135">
        <v>10</v>
      </c>
      <c r="C135">
        <v>7</v>
      </c>
      <c r="D135">
        <v>70</v>
      </c>
    </row>
    <row r="136" spans="1:4" x14ac:dyDescent="0.25">
      <c r="A136" s="130">
        <v>45706</v>
      </c>
      <c r="B136">
        <v>7</v>
      </c>
      <c r="C136">
        <v>7</v>
      </c>
      <c r="D136">
        <v>100</v>
      </c>
    </row>
    <row r="137" spans="1:4" x14ac:dyDescent="0.25">
      <c r="A137" s="130">
        <v>45707</v>
      </c>
      <c r="B137">
        <v>36</v>
      </c>
      <c r="C137">
        <v>32</v>
      </c>
      <c r="D137">
        <v>88.888888888888886</v>
      </c>
    </row>
    <row r="138" spans="1:4" x14ac:dyDescent="0.25">
      <c r="A138" s="130">
        <v>45708</v>
      </c>
      <c r="B138">
        <v>24</v>
      </c>
      <c r="C138">
        <v>24</v>
      </c>
      <c r="D138">
        <v>100</v>
      </c>
    </row>
    <row r="139" spans="1:4" x14ac:dyDescent="0.25">
      <c r="A139" s="130">
        <v>45709</v>
      </c>
      <c r="B139">
        <v>20</v>
      </c>
      <c r="C139">
        <v>19</v>
      </c>
      <c r="D139">
        <v>95</v>
      </c>
    </row>
    <row r="140" spans="1:4" x14ac:dyDescent="0.25">
      <c r="A140" s="130">
        <v>45712</v>
      </c>
      <c r="B140">
        <v>24</v>
      </c>
      <c r="C140">
        <v>23</v>
      </c>
      <c r="D140">
        <v>95.833333333333329</v>
      </c>
    </row>
    <row r="141" spans="1:4" x14ac:dyDescent="0.25">
      <c r="A141" s="130">
        <v>45713</v>
      </c>
      <c r="B141">
        <v>12</v>
      </c>
      <c r="C141">
        <v>12</v>
      </c>
      <c r="D141">
        <v>100</v>
      </c>
    </row>
    <row r="142" spans="1:4" x14ac:dyDescent="0.25">
      <c r="A142" s="130">
        <v>45714</v>
      </c>
      <c r="B142">
        <v>10</v>
      </c>
      <c r="C142">
        <v>7</v>
      </c>
      <c r="D142">
        <v>70</v>
      </c>
    </row>
    <row r="143" spans="1:4" x14ac:dyDescent="0.25">
      <c r="A143" s="130">
        <v>45715</v>
      </c>
      <c r="B143">
        <v>10</v>
      </c>
      <c r="C143">
        <v>6</v>
      </c>
      <c r="D143">
        <v>60</v>
      </c>
    </row>
    <row r="144" spans="1:4" x14ac:dyDescent="0.25">
      <c r="A144" s="130">
        <v>45716</v>
      </c>
      <c r="B144">
        <v>10</v>
      </c>
      <c r="C144">
        <v>5</v>
      </c>
      <c r="D144">
        <v>50</v>
      </c>
    </row>
    <row r="145" spans="1:4" x14ac:dyDescent="0.25">
      <c r="A145" s="130">
        <v>45717</v>
      </c>
      <c r="B145">
        <v>1</v>
      </c>
      <c r="C145">
        <v>1</v>
      </c>
      <c r="D145">
        <v>100</v>
      </c>
    </row>
    <row r="146" spans="1:4" x14ac:dyDescent="0.25">
      <c r="A146" s="130">
        <v>45719</v>
      </c>
      <c r="B146">
        <v>24</v>
      </c>
      <c r="C146">
        <v>22</v>
      </c>
      <c r="D146">
        <v>91.666666666666671</v>
      </c>
    </row>
    <row r="147" spans="1:4" x14ac:dyDescent="0.25">
      <c r="A147" s="130">
        <v>45720</v>
      </c>
      <c r="B147">
        <v>8</v>
      </c>
      <c r="C147">
        <v>8</v>
      </c>
      <c r="D147">
        <v>100</v>
      </c>
    </row>
    <row r="148" spans="1:4" x14ac:dyDescent="0.25">
      <c r="A148" s="130">
        <v>45721</v>
      </c>
      <c r="B148">
        <v>10</v>
      </c>
      <c r="C148">
        <v>9</v>
      </c>
      <c r="D148">
        <v>90</v>
      </c>
    </row>
    <row r="149" spans="1:4" x14ac:dyDescent="0.25">
      <c r="A149" s="130">
        <v>45722</v>
      </c>
      <c r="B149">
        <v>9</v>
      </c>
      <c r="C149">
        <v>9</v>
      </c>
      <c r="D149">
        <v>100</v>
      </c>
    </row>
    <row r="150" spans="1:4" x14ac:dyDescent="0.25">
      <c r="A150" s="130">
        <v>45723</v>
      </c>
      <c r="B150">
        <v>14</v>
      </c>
      <c r="C150">
        <v>9</v>
      </c>
      <c r="D150">
        <v>64.285714285714292</v>
      </c>
    </row>
    <row r="151" spans="1:4" x14ac:dyDescent="0.25">
      <c r="A151" s="130">
        <v>45726</v>
      </c>
      <c r="B151">
        <v>32</v>
      </c>
      <c r="C151">
        <v>20</v>
      </c>
      <c r="D151">
        <v>62.5</v>
      </c>
    </row>
    <row r="152" spans="1:4" x14ac:dyDescent="0.25">
      <c r="A152" s="130">
        <v>45727</v>
      </c>
      <c r="B152">
        <v>21</v>
      </c>
      <c r="C152">
        <v>16</v>
      </c>
      <c r="D152">
        <v>76.19047619047619</v>
      </c>
    </row>
    <row r="153" spans="1:4" x14ac:dyDescent="0.25">
      <c r="A153" s="130">
        <v>45728</v>
      </c>
      <c r="B153">
        <v>12</v>
      </c>
      <c r="C153">
        <v>10</v>
      </c>
      <c r="D153">
        <v>83.333333333333329</v>
      </c>
    </row>
    <row r="154" spans="1:4" x14ac:dyDescent="0.25">
      <c r="A154" s="130">
        <v>45729</v>
      </c>
      <c r="B154">
        <v>8</v>
      </c>
      <c r="C154">
        <v>7</v>
      </c>
      <c r="D154">
        <v>87.5</v>
      </c>
    </row>
    <row r="155" spans="1:4" x14ac:dyDescent="0.25">
      <c r="A155" s="130">
        <v>45730</v>
      </c>
      <c r="B155">
        <v>9</v>
      </c>
      <c r="C155">
        <v>6</v>
      </c>
      <c r="D155">
        <v>66.666666666666671</v>
      </c>
    </row>
    <row r="156" spans="1:4" x14ac:dyDescent="0.25">
      <c r="A156" s="130">
        <v>45733</v>
      </c>
      <c r="B156">
        <v>9</v>
      </c>
      <c r="C156">
        <v>7</v>
      </c>
      <c r="D156">
        <v>77.777777777777771</v>
      </c>
    </row>
    <row r="157" spans="1:4" x14ac:dyDescent="0.25">
      <c r="A157" s="130">
        <v>45734</v>
      </c>
      <c r="B157">
        <v>11</v>
      </c>
      <c r="C157">
        <v>9</v>
      </c>
      <c r="D157">
        <v>81.818181818181813</v>
      </c>
    </row>
    <row r="158" spans="1:4" x14ac:dyDescent="0.25">
      <c r="A158" s="130">
        <v>45735</v>
      </c>
      <c r="B158">
        <v>9</v>
      </c>
      <c r="C158">
        <v>9</v>
      </c>
      <c r="D158">
        <v>100</v>
      </c>
    </row>
    <row r="159" spans="1:4" x14ac:dyDescent="0.25">
      <c r="A159" s="130">
        <v>45736</v>
      </c>
      <c r="B159">
        <v>9</v>
      </c>
      <c r="C159">
        <v>6</v>
      </c>
      <c r="D159">
        <v>66.666666666666671</v>
      </c>
    </row>
    <row r="160" spans="1:4" x14ac:dyDescent="0.25">
      <c r="A160" s="130">
        <v>45737</v>
      </c>
      <c r="B160">
        <v>12</v>
      </c>
      <c r="C160">
        <v>9</v>
      </c>
      <c r="D160">
        <v>75</v>
      </c>
    </row>
    <row r="161" spans="1:4" x14ac:dyDescent="0.25">
      <c r="A161" s="130">
        <v>45740</v>
      </c>
      <c r="B161">
        <v>10</v>
      </c>
      <c r="C161">
        <v>9</v>
      </c>
      <c r="D161">
        <v>90</v>
      </c>
    </row>
    <row r="162" spans="1:4" x14ac:dyDescent="0.25">
      <c r="A162" s="130">
        <v>45741</v>
      </c>
      <c r="B162">
        <v>5</v>
      </c>
      <c r="C162">
        <v>3</v>
      </c>
      <c r="D162">
        <v>60</v>
      </c>
    </row>
    <row r="163" spans="1:4" x14ac:dyDescent="0.25">
      <c r="A163" s="130">
        <v>45742</v>
      </c>
      <c r="B163">
        <v>9</v>
      </c>
      <c r="C163">
        <v>8</v>
      </c>
      <c r="D163">
        <v>88.888888888888886</v>
      </c>
    </row>
    <row r="164" spans="1:4" x14ac:dyDescent="0.25">
      <c r="A164" s="130">
        <v>45743</v>
      </c>
      <c r="B164">
        <v>2</v>
      </c>
      <c r="C164">
        <v>1</v>
      </c>
      <c r="D164">
        <v>50</v>
      </c>
    </row>
    <row r="165" spans="1:4" x14ac:dyDescent="0.25">
      <c r="A165" s="130">
        <v>45744</v>
      </c>
      <c r="B165">
        <v>8</v>
      </c>
      <c r="C165">
        <v>6</v>
      </c>
      <c r="D165">
        <v>75</v>
      </c>
    </row>
    <row r="166" spans="1:4" x14ac:dyDescent="0.25">
      <c r="A166" s="130">
        <v>45747</v>
      </c>
      <c r="B166">
        <v>8</v>
      </c>
      <c r="C166">
        <v>6</v>
      </c>
      <c r="D166">
        <v>75</v>
      </c>
    </row>
    <row r="167" spans="1:4" x14ac:dyDescent="0.25">
      <c r="A167" s="130">
        <v>45748</v>
      </c>
      <c r="B167">
        <v>7</v>
      </c>
      <c r="C167">
        <v>6</v>
      </c>
      <c r="D167">
        <v>85.714285714285708</v>
      </c>
    </row>
    <row r="168" spans="1:4" x14ac:dyDescent="0.25">
      <c r="A168" s="130">
        <v>45749</v>
      </c>
      <c r="B168">
        <v>14</v>
      </c>
      <c r="C168">
        <v>11</v>
      </c>
      <c r="D168">
        <v>78.571428571428569</v>
      </c>
    </row>
    <row r="169" spans="1:4" x14ac:dyDescent="0.25">
      <c r="A169" s="130">
        <v>45750</v>
      </c>
      <c r="B169">
        <v>15</v>
      </c>
      <c r="C169">
        <v>12</v>
      </c>
      <c r="D169">
        <v>80</v>
      </c>
    </row>
    <row r="170" spans="1:4" x14ac:dyDescent="0.25">
      <c r="A170" s="130">
        <v>45751</v>
      </c>
      <c r="B170">
        <v>9</v>
      </c>
      <c r="C170">
        <v>6</v>
      </c>
      <c r="D170">
        <v>66.666666666666671</v>
      </c>
    </row>
    <row r="171" spans="1:4" x14ac:dyDescent="0.25">
      <c r="A171" s="130">
        <v>45754</v>
      </c>
      <c r="B171">
        <v>10</v>
      </c>
      <c r="C171">
        <v>9</v>
      </c>
      <c r="D171">
        <v>90</v>
      </c>
    </row>
    <row r="172" spans="1:4" x14ac:dyDescent="0.25">
      <c r="A172" s="130">
        <v>45755</v>
      </c>
      <c r="B172">
        <v>8</v>
      </c>
      <c r="C172">
        <v>5</v>
      </c>
      <c r="D172">
        <v>62.5</v>
      </c>
    </row>
    <row r="173" spans="1:4" x14ac:dyDescent="0.25">
      <c r="A173" s="130">
        <v>45756</v>
      </c>
      <c r="B173">
        <v>14</v>
      </c>
      <c r="C173">
        <v>13</v>
      </c>
      <c r="D173">
        <v>92.857142857142861</v>
      </c>
    </row>
    <row r="174" spans="1:4" x14ac:dyDescent="0.25">
      <c r="A174" s="130">
        <v>45757</v>
      </c>
      <c r="B174">
        <v>17</v>
      </c>
      <c r="C174">
        <v>11</v>
      </c>
      <c r="D174">
        <v>64.705882352941174</v>
      </c>
    </row>
    <row r="175" spans="1:4" x14ac:dyDescent="0.25">
      <c r="A175" s="130">
        <v>45758</v>
      </c>
      <c r="B175">
        <v>1</v>
      </c>
      <c r="C175">
        <v>1</v>
      </c>
      <c r="D175">
        <v>100</v>
      </c>
    </row>
    <row r="176" spans="1:4" x14ac:dyDescent="0.25">
      <c r="A176" s="130">
        <v>45761</v>
      </c>
      <c r="B176">
        <v>2</v>
      </c>
      <c r="C176">
        <v>2</v>
      </c>
      <c r="D176">
        <v>100</v>
      </c>
    </row>
    <row r="177" spans="1:4" x14ac:dyDescent="0.25">
      <c r="A177" s="130">
        <v>45762</v>
      </c>
      <c r="B177">
        <v>18</v>
      </c>
      <c r="C177">
        <v>18</v>
      </c>
      <c r="D177">
        <v>100</v>
      </c>
    </row>
    <row r="178" spans="1:4" x14ac:dyDescent="0.25">
      <c r="A178" s="130">
        <v>45763</v>
      </c>
      <c r="B178">
        <v>21</v>
      </c>
      <c r="C178">
        <v>19</v>
      </c>
      <c r="D178">
        <v>90.476190476190482</v>
      </c>
    </row>
    <row r="179" spans="1:4" x14ac:dyDescent="0.25">
      <c r="A179" s="130">
        <v>45764</v>
      </c>
      <c r="B179">
        <v>14</v>
      </c>
      <c r="C179">
        <v>14</v>
      </c>
      <c r="D179">
        <v>100</v>
      </c>
    </row>
    <row r="180" spans="1:4" x14ac:dyDescent="0.25">
      <c r="A180" s="130">
        <v>45765</v>
      </c>
      <c r="B180">
        <v>5</v>
      </c>
      <c r="C180">
        <v>5</v>
      </c>
      <c r="D180">
        <v>100</v>
      </c>
    </row>
    <row r="181" spans="1:4" x14ac:dyDescent="0.25">
      <c r="A181" s="130">
        <v>45768</v>
      </c>
      <c r="B181">
        <v>6</v>
      </c>
      <c r="C181">
        <v>6</v>
      </c>
      <c r="D181">
        <v>100</v>
      </c>
    </row>
    <row r="182" spans="1:4" x14ac:dyDescent="0.25">
      <c r="A182" s="130">
        <v>45769</v>
      </c>
      <c r="B182">
        <v>4</v>
      </c>
      <c r="C182">
        <v>4</v>
      </c>
      <c r="D182">
        <v>100</v>
      </c>
    </row>
    <row r="183" spans="1:4" x14ac:dyDescent="0.25">
      <c r="A183" s="130">
        <v>45770</v>
      </c>
      <c r="B183">
        <v>15</v>
      </c>
      <c r="C183">
        <v>15</v>
      </c>
      <c r="D183">
        <v>100</v>
      </c>
    </row>
    <row r="184" spans="1:4" x14ac:dyDescent="0.25">
      <c r="A184" s="130">
        <v>45771</v>
      </c>
      <c r="B184">
        <v>17</v>
      </c>
      <c r="C184">
        <v>17</v>
      </c>
      <c r="D184">
        <v>100</v>
      </c>
    </row>
    <row r="185" spans="1:4" x14ac:dyDescent="0.25">
      <c r="A185" s="130">
        <v>45772</v>
      </c>
      <c r="B185">
        <v>16</v>
      </c>
      <c r="C185">
        <v>16</v>
      </c>
      <c r="D185">
        <v>100</v>
      </c>
    </row>
    <row r="186" spans="1:4" x14ac:dyDescent="0.25">
      <c r="A186" s="130">
        <v>45775</v>
      </c>
      <c r="B186">
        <v>6</v>
      </c>
      <c r="C186">
        <v>6</v>
      </c>
      <c r="D186">
        <v>100</v>
      </c>
    </row>
    <row r="187" spans="1:4" x14ac:dyDescent="0.25">
      <c r="A187" s="130">
        <v>45776</v>
      </c>
      <c r="B187">
        <v>11</v>
      </c>
      <c r="C187">
        <v>6</v>
      </c>
      <c r="D187">
        <v>54.545454545454547</v>
      </c>
    </row>
    <row r="188" spans="1:4" x14ac:dyDescent="0.25">
      <c r="A188" s="130">
        <v>45777</v>
      </c>
      <c r="B188">
        <v>18</v>
      </c>
      <c r="C188">
        <v>16</v>
      </c>
      <c r="D188">
        <v>88.888888888888886</v>
      </c>
    </row>
    <row r="189" spans="1:4" x14ac:dyDescent="0.25">
      <c r="A189" s="130">
        <v>45778</v>
      </c>
      <c r="B189">
        <v>23</v>
      </c>
      <c r="C189">
        <v>21</v>
      </c>
      <c r="D189">
        <v>91.304347826086953</v>
      </c>
    </row>
    <row r="190" spans="1:4" x14ac:dyDescent="0.25">
      <c r="A190" s="130">
        <v>45779</v>
      </c>
      <c r="B190">
        <v>12</v>
      </c>
      <c r="C190">
        <v>9</v>
      </c>
      <c r="D190">
        <v>75</v>
      </c>
    </row>
    <row r="191" spans="1:4" x14ac:dyDescent="0.25">
      <c r="A191" s="130">
        <v>45782</v>
      </c>
      <c r="B191">
        <v>18</v>
      </c>
      <c r="C191">
        <v>17</v>
      </c>
      <c r="D191">
        <v>94.444444444444443</v>
      </c>
    </row>
    <row r="192" spans="1:4" x14ac:dyDescent="0.25">
      <c r="A192" s="130">
        <v>45783</v>
      </c>
      <c r="B192">
        <v>29</v>
      </c>
      <c r="C192">
        <v>26</v>
      </c>
      <c r="D192">
        <v>89.65517241379311</v>
      </c>
    </row>
    <row r="193" spans="1:4" x14ac:dyDescent="0.25">
      <c r="A193" s="130">
        <v>45784</v>
      </c>
      <c r="B193">
        <v>22</v>
      </c>
      <c r="C193">
        <v>22</v>
      </c>
      <c r="D193">
        <v>100</v>
      </c>
    </row>
    <row r="194" spans="1:4" x14ac:dyDescent="0.25">
      <c r="A194" s="130">
        <v>45785</v>
      </c>
      <c r="B194">
        <v>20</v>
      </c>
      <c r="C194">
        <v>20</v>
      </c>
      <c r="D194">
        <v>100</v>
      </c>
    </row>
    <row r="195" spans="1:4" x14ac:dyDescent="0.25">
      <c r="A195" s="130">
        <v>45786</v>
      </c>
      <c r="B195">
        <v>6</v>
      </c>
      <c r="C195">
        <v>6</v>
      </c>
      <c r="D195">
        <v>100</v>
      </c>
    </row>
    <row r="196" spans="1:4" x14ac:dyDescent="0.25">
      <c r="A196" s="130">
        <v>45789</v>
      </c>
      <c r="B196">
        <v>10</v>
      </c>
      <c r="C196">
        <v>8</v>
      </c>
      <c r="D196">
        <v>80</v>
      </c>
    </row>
    <row r="197" spans="1:4" x14ac:dyDescent="0.25">
      <c r="A197" s="130">
        <v>45791</v>
      </c>
      <c r="B197">
        <v>20</v>
      </c>
      <c r="C197">
        <v>20</v>
      </c>
      <c r="D197">
        <v>100</v>
      </c>
    </row>
    <row r="198" spans="1:4" x14ac:dyDescent="0.25">
      <c r="A198" s="130">
        <v>45792</v>
      </c>
      <c r="B198">
        <v>13</v>
      </c>
      <c r="C198">
        <v>13</v>
      </c>
      <c r="D198">
        <v>100</v>
      </c>
    </row>
    <row r="199" spans="1:4" x14ac:dyDescent="0.25">
      <c r="A199" s="130">
        <v>45793</v>
      </c>
      <c r="B199">
        <v>15</v>
      </c>
      <c r="C199">
        <v>15</v>
      </c>
      <c r="D199">
        <v>100</v>
      </c>
    </row>
    <row r="200" spans="1:4" x14ac:dyDescent="0.25">
      <c r="A200" s="130">
        <v>45796</v>
      </c>
      <c r="B200">
        <v>14</v>
      </c>
      <c r="C200">
        <v>12</v>
      </c>
      <c r="D200">
        <v>85.714285714285708</v>
      </c>
    </row>
    <row r="201" spans="1:4" x14ac:dyDescent="0.25">
      <c r="A201" s="130">
        <v>45797</v>
      </c>
      <c r="B201">
        <v>12</v>
      </c>
      <c r="C201">
        <v>9</v>
      </c>
      <c r="D201">
        <v>75</v>
      </c>
    </row>
    <row r="202" spans="1:4" x14ac:dyDescent="0.25">
      <c r="A202" s="130">
        <v>45798</v>
      </c>
      <c r="B202">
        <v>15</v>
      </c>
      <c r="C202">
        <v>14</v>
      </c>
      <c r="D202">
        <v>93.333333333333329</v>
      </c>
    </row>
    <row r="203" spans="1:4" x14ac:dyDescent="0.25">
      <c r="A203" s="130">
        <v>45799</v>
      </c>
      <c r="B203">
        <v>4</v>
      </c>
      <c r="C203">
        <v>4</v>
      </c>
      <c r="D203">
        <v>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4833E-7134-43F8-8206-12018F8F4EC4}">
  <sheetPr codeName="Sheet13"/>
  <dimension ref="A1:F11"/>
  <sheetViews>
    <sheetView workbookViewId="0">
      <selection activeCell="D12" sqref="D12"/>
    </sheetView>
  </sheetViews>
  <sheetFormatPr defaultRowHeight="15" x14ac:dyDescent="0.25"/>
  <cols>
    <col min="2" max="2" width="13.5703125" bestFit="1" customWidth="1"/>
    <col min="3" max="3" width="7.85546875" bestFit="1" customWidth="1"/>
    <col min="4" max="4" width="16.5703125" bestFit="1" customWidth="1"/>
    <col min="5" max="5" width="8" bestFit="1" customWidth="1"/>
    <col min="6" max="6" width="19.28515625" bestFit="1" customWidth="1"/>
  </cols>
  <sheetData>
    <row r="1" spans="1:6" x14ac:dyDescent="0.25">
      <c r="A1" t="s">
        <v>375</v>
      </c>
      <c r="B1" t="s">
        <v>377</v>
      </c>
      <c r="C1" t="s">
        <v>376</v>
      </c>
      <c r="D1" t="s">
        <v>378</v>
      </c>
      <c r="E1" t="s">
        <v>379</v>
      </c>
      <c r="F1" t="s">
        <v>380</v>
      </c>
    </row>
    <row r="2" spans="1:6" x14ac:dyDescent="0.25">
      <c r="A2" t="s">
        <v>411</v>
      </c>
      <c r="B2">
        <v>14</v>
      </c>
      <c r="C2">
        <v>1</v>
      </c>
      <c r="D2">
        <v>34.15</v>
      </c>
      <c r="E2">
        <v>15552</v>
      </c>
      <c r="F2">
        <v>687.38</v>
      </c>
    </row>
    <row r="3" spans="1:6" x14ac:dyDescent="0.25">
      <c r="A3" t="s">
        <v>417</v>
      </c>
      <c r="B3">
        <v>9</v>
      </c>
      <c r="C3">
        <v>1</v>
      </c>
      <c r="D3">
        <v>25.53</v>
      </c>
      <c r="E3">
        <v>6912</v>
      </c>
      <c r="F3">
        <v>449.87</v>
      </c>
    </row>
    <row r="4" spans="1:6" x14ac:dyDescent="0.25">
      <c r="A4" t="s">
        <v>383</v>
      </c>
      <c r="B4">
        <v>26</v>
      </c>
      <c r="C4">
        <v>1</v>
      </c>
      <c r="D4">
        <v>54.85</v>
      </c>
      <c r="E4">
        <v>25920</v>
      </c>
      <c r="F4">
        <v>1276.56</v>
      </c>
    </row>
    <row r="5" spans="1:6" x14ac:dyDescent="0.25">
      <c r="A5" t="s">
        <v>418</v>
      </c>
      <c r="B5">
        <v>2</v>
      </c>
      <c r="C5">
        <v>2</v>
      </c>
      <c r="D5">
        <v>26.9</v>
      </c>
      <c r="E5">
        <v>3888</v>
      </c>
      <c r="F5">
        <v>141.91</v>
      </c>
    </row>
    <row r="6" spans="1:6" x14ac:dyDescent="0.25">
      <c r="A6" t="s">
        <v>419</v>
      </c>
      <c r="B6">
        <v>3</v>
      </c>
      <c r="C6">
        <v>2</v>
      </c>
      <c r="D6">
        <v>30.35</v>
      </c>
      <c r="E6">
        <v>4800</v>
      </c>
      <c r="F6">
        <v>158.87</v>
      </c>
    </row>
    <row r="7" spans="1:6" x14ac:dyDescent="0.25">
      <c r="A7" t="s">
        <v>417</v>
      </c>
      <c r="B7">
        <v>9</v>
      </c>
      <c r="C7">
        <v>1</v>
      </c>
      <c r="D7">
        <v>25.53</v>
      </c>
      <c r="E7">
        <v>6912</v>
      </c>
      <c r="F7">
        <v>449.87</v>
      </c>
    </row>
    <row r="8" spans="1:6" x14ac:dyDescent="0.25">
      <c r="A8" t="s">
        <v>420</v>
      </c>
      <c r="B8">
        <v>6</v>
      </c>
      <c r="C8">
        <v>1</v>
      </c>
      <c r="D8">
        <v>20.350000000000001</v>
      </c>
      <c r="E8">
        <v>3888</v>
      </c>
      <c r="F8">
        <v>331.12</v>
      </c>
    </row>
    <row r="9" spans="1:6" x14ac:dyDescent="0.25">
      <c r="A9" t="s">
        <v>418</v>
      </c>
      <c r="B9">
        <v>2</v>
      </c>
      <c r="C9">
        <v>2</v>
      </c>
      <c r="D9">
        <v>26.9</v>
      </c>
      <c r="E9">
        <v>3888</v>
      </c>
      <c r="F9">
        <v>141.91</v>
      </c>
    </row>
    <row r="10" spans="1:6" x14ac:dyDescent="0.25">
      <c r="A10" t="s">
        <v>412</v>
      </c>
      <c r="B10">
        <v>16</v>
      </c>
      <c r="C10">
        <v>1</v>
      </c>
      <c r="D10">
        <v>37.6</v>
      </c>
      <c r="E10">
        <v>14400</v>
      </c>
      <c r="F10">
        <v>812.32</v>
      </c>
    </row>
    <row r="11" spans="1:6" x14ac:dyDescent="0.25">
      <c r="A11" t="s">
        <v>421</v>
      </c>
      <c r="B11">
        <v>5</v>
      </c>
      <c r="C11">
        <v>1</v>
      </c>
      <c r="D11">
        <v>18.63</v>
      </c>
      <c r="E11">
        <v>3200</v>
      </c>
      <c r="F11">
        <v>264.79000000000002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2EF3E-3388-4F18-8395-E64D4EFB5DA3}">
  <sheetPr codeName="Sheet6"/>
  <dimension ref="A1:D41"/>
  <sheetViews>
    <sheetView showGridLines="0" topLeftCell="A5" workbookViewId="0">
      <selection activeCell="J1793" sqref="J1793"/>
    </sheetView>
  </sheetViews>
  <sheetFormatPr defaultColWidth="8.85546875" defaultRowHeight="15" x14ac:dyDescent="0.25"/>
  <cols>
    <col min="2" max="2" width="17" bestFit="1" customWidth="1"/>
    <col min="3" max="3" width="19" customWidth="1"/>
    <col min="4" max="4" width="98.28515625" bestFit="1" customWidth="1"/>
    <col min="5" max="5" width="10.42578125" customWidth="1"/>
  </cols>
  <sheetData>
    <row r="1" spans="1:4" ht="15.75" thickBot="1" x14ac:dyDescent="0.3">
      <c r="A1" s="73" t="s">
        <v>70</v>
      </c>
      <c r="B1" s="73" t="s">
        <v>71</v>
      </c>
      <c r="C1" s="73" t="s">
        <v>72</v>
      </c>
      <c r="D1" s="73" t="s">
        <v>73</v>
      </c>
    </row>
    <row r="2" spans="1:4" x14ac:dyDescent="0.25">
      <c r="A2" s="74" t="s">
        <v>74</v>
      </c>
      <c r="B2" s="75">
        <v>45338</v>
      </c>
      <c r="C2" s="74">
        <v>87</v>
      </c>
      <c r="D2" s="72" t="s">
        <v>75</v>
      </c>
    </row>
    <row r="3" spans="1:4" x14ac:dyDescent="0.25">
      <c r="A3" s="76" t="s">
        <v>76</v>
      </c>
      <c r="B3" s="80">
        <v>45342</v>
      </c>
      <c r="C3" s="76"/>
      <c r="D3" s="78" t="s">
        <v>77</v>
      </c>
    </row>
    <row r="4" spans="1:4" x14ac:dyDescent="0.25">
      <c r="A4" s="76" t="s">
        <v>78</v>
      </c>
      <c r="B4" s="80">
        <v>45343</v>
      </c>
      <c r="C4" s="76"/>
      <c r="D4" s="78" t="s">
        <v>79</v>
      </c>
    </row>
    <row r="5" spans="1:4" x14ac:dyDescent="0.25">
      <c r="A5" s="76" t="s">
        <v>80</v>
      </c>
      <c r="B5" s="80">
        <v>45350</v>
      </c>
      <c r="C5" s="76"/>
      <c r="D5" s="78" t="s">
        <v>81</v>
      </c>
    </row>
    <row r="6" spans="1:4" x14ac:dyDescent="0.25">
      <c r="A6" s="76" t="s">
        <v>82</v>
      </c>
      <c r="B6" s="80">
        <v>45351</v>
      </c>
      <c r="C6" s="76"/>
      <c r="D6" s="78" t="s">
        <v>83</v>
      </c>
    </row>
    <row r="7" spans="1:4" x14ac:dyDescent="0.25">
      <c r="A7" s="172" t="s">
        <v>84</v>
      </c>
      <c r="B7" s="173">
        <v>45352</v>
      </c>
      <c r="C7" s="76"/>
      <c r="D7" s="171" t="s">
        <v>85</v>
      </c>
    </row>
    <row r="8" spans="1:4" x14ac:dyDescent="0.25">
      <c r="A8" s="172"/>
      <c r="B8" s="173"/>
      <c r="C8" s="76"/>
      <c r="D8" s="171"/>
    </row>
    <row r="9" spans="1:4" x14ac:dyDescent="0.25">
      <c r="A9" s="76" t="s">
        <v>86</v>
      </c>
      <c r="B9" s="80">
        <v>45356</v>
      </c>
      <c r="C9" s="76"/>
      <c r="D9" s="78" t="s">
        <v>87</v>
      </c>
    </row>
    <row r="10" spans="1:4" x14ac:dyDescent="0.25">
      <c r="A10" s="76" t="s">
        <v>88</v>
      </c>
      <c r="B10" s="80">
        <v>45364</v>
      </c>
      <c r="C10" s="76"/>
      <c r="D10" s="78" t="s">
        <v>89</v>
      </c>
    </row>
    <row r="11" spans="1:4" x14ac:dyDescent="0.25">
      <c r="A11" s="76" t="s">
        <v>90</v>
      </c>
      <c r="B11" s="80">
        <v>45369</v>
      </c>
      <c r="C11" s="76"/>
      <c r="D11" s="78" t="s">
        <v>91</v>
      </c>
    </row>
    <row r="12" spans="1:4" ht="15" customHeight="1" x14ac:dyDescent="0.25">
      <c r="A12" s="172" t="s">
        <v>92</v>
      </c>
      <c r="B12" s="174">
        <v>45370</v>
      </c>
      <c r="C12" s="76"/>
      <c r="D12" s="171" t="s">
        <v>93</v>
      </c>
    </row>
    <row r="13" spans="1:4" x14ac:dyDescent="0.25">
      <c r="A13" s="172"/>
      <c r="B13" s="174"/>
      <c r="C13" s="76"/>
      <c r="D13" s="171"/>
    </row>
    <row r="14" spans="1:4" x14ac:dyDescent="0.25">
      <c r="A14" s="172"/>
      <c r="B14" s="174"/>
      <c r="C14" s="76"/>
      <c r="D14" s="171"/>
    </row>
    <row r="15" spans="1:4" x14ac:dyDescent="0.25">
      <c r="A15" s="101" t="s">
        <v>94</v>
      </c>
      <c r="B15" s="123">
        <v>45371</v>
      </c>
      <c r="C15" s="76"/>
      <c r="D15" s="124" t="s">
        <v>95</v>
      </c>
    </row>
    <row r="16" spans="1:4" ht="45" x14ac:dyDescent="0.25">
      <c r="A16" s="101" t="s">
        <v>96</v>
      </c>
      <c r="B16" s="123">
        <v>45376</v>
      </c>
      <c r="C16" s="76"/>
      <c r="D16" s="124" t="s">
        <v>97</v>
      </c>
    </row>
    <row r="17" spans="1:4" x14ac:dyDescent="0.25">
      <c r="A17" s="101" t="s">
        <v>98</v>
      </c>
      <c r="B17" s="123">
        <v>45384</v>
      </c>
      <c r="C17" s="76"/>
      <c r="D17" s="124" t="s">
        <v>99</v>
      </c>
    </row>
    <row r="18" spans="1:4" x14ac:dyDescent="0.25">
      <c r="A18" s="101" t="s">
        <v>100</v>
      </c>
      <c r="B18" s="123">
        <v>45385</v>
      </c>
      <c r="C18" s="76"/>
      <c r="D18" s="124" t="s">
        <v>101</v>
      </c>
    </row>
    <row r="19" spans="1:4" x14ac:dyDescent="0.25">
      <c r="A19" s="101" t="s">
        <v>102</v>
      </c>
      <c r="B19" s="123">
        <v>45398</v>
      </c>
      <c r="C19" s="76"/>
      <c r="D19" s="124" t="s">
        <v>103</v>
      </c>
    </row>
    <row r="20" spans="1:4" x14ac:dyDescent="0.25">
      <c r="A20" s="101" t="s">
        <v>310</v>
      </c>
      <c r="B20" s="123">
        <v>45440</v>
      </c>
      <c r="C20" s="76"/>
      <c r="D20" s="124" t="s">
        <v>311</v>
      </c>
    </row>
    <row r="21" spans="1:4" x14ac:dyDescent="0.25">
      <c r="A21" s="101" t="s">
        <v>313</v>
      </c>
      <c r="B21" s="123">
        <v>45468</v>
      </c>
      <c r="C21" s="76"/>
      <c r="D21" s="124" t="s">
        <v>314</v>
      </c>
    </row>
    <row r="22" spans="1:4" x14ac:dyDescent="0.25">
      <c r="A22" s="101" t="s">
        <v>315</v>
      </c>
      <c r="B22" s="123">
        <v>45491</v>
      </c>
      <c r="C22" s="76"/>
      <c r="D22" s="124" t="s">
        <v>316</v>
      </c>
    </row>
    <row r="23" spans="1:4" x14ac:dyDescent="0.25">
      <c r="A23" s="101" t="s">
        <v>320</v>
      </c>
      <c r="B23" s="123">
        <v>45495</v>
      </c>
      <c r="C23" s="76"/>
      <c r="D23" s="124" t="s">
        <v>321</v>
      </c>
    </row>
    <row r="24" spans="1:4" x14ac:dyDescent="0.25">
      <c r="A24" s="101" t="s">
        <v>344</v>
      </c>
      <c r="B24" s="123">
        <v>45520</v>
      </c>
      <c r="C24" s="76"/>
      <c r="D24" s="124" t="s">
        <v>345</v>
      </c>
    </row>
    <row r="25" spans="1:4" x14ac:dyDescent="0.25">
      <c r="A25" s="101" t="s">
        <v>348</v>
      </c>
      <c r="B25" s="123">
        <v>45551</v>
      </c>
      <c r="C25" s="76"/>
      <c r="D25" s="124" t="s">
        <v>349</v>
      </c>
    </row>
    <row r="26" spans="1:4" x14ac:dyDescent="0.25">
      <c r="A26" s="101" t="s">
        <v>371</v>
      </c>
      <c r="B26" s="123">
        <v>45628</v>
      </c>
      <c r="C26" s="76"/>
      <c r="D26" s="124" t="s">
        <v>372</v>
      </c>
    </row>
    <row r="27" spans="1:4" x14ac:dyDescent="0.25">
      <c r="A27" s="101" t="s">
        <v>381</v>
      </c>
      <c r="B27" s="132">
        <v>45629</v>
      </c>
      <c r="C27" s="76"/>
      <c r="D27" s="124" t="s">
        <v>382</v>
      </c>
    </row>
    <row r="28" spans="1:4" x14ac:dyDescent="0.25">
      <c r="A28" s="101" t="s">
        <v>392</v>
      </c>
      <c r="B28" s="123">
        <v>45660</v>
      </c>
      <c r="C28" s="76"/>
      <c r="D28" s="124" t="s">
        <v>393</v>
      </c>
    </row>
    <row r="29" spans="1:4" ht="75" x14ac:dyDescent="0.25">
      <c r="A29" s="101" t="s">
        <v>408</v>
      </c>
      <c r="B29" s="123">
        <v>45667</v>
      </c>
      <c r="C29" s="76"/>
      <c r="D29" s="124" t="s">
        <v>410</v>
      </c>
    </row>
    <row r="30" spans="1:4" x14ac:dyDescent="0.25">
      <c r="A30" s="101" t="s">
        <v>423</v>
      </c>
      <c r="B30" s="123">
        <v>45736</v>
      </c>
      <c r="C30" s="76"/>
      <c r="D30" s="124" t="s">
        <v>424</v>
      </c>
    </row>
    <row r="31" spans="1:4" x14ac:dyDescent="0.25">
      <c r="A31" s="101" t="s">
        <v>427</v>
      </c>
      <c r="B31" s="123">
        <v>45799</v>
      </c>
      <c r="C31" s="76"/>
      <c r="D31" s="124" t="s">
        <v>428</v>
      </c>
    </row>
    <row r="32" spans="1:4" x14ac:dyDescent="0.25">
      <c r="A32" s="101"/>
      <c r="B32" s="123"/>
      <c r="C32" s="76"/>
      <c r="D32" s="124"/>
    </row>
    <row r="33" spans="1:4" x14ac:dyDescent="0.25">
      <c r="A33" s="101"/>
      <c r="B33" s="123"/>
      <c r="C33" s="76"/>
      <c r="D33" s="124"/>
    </row>
    <row r="34" spans="1:4" x14ac:dyDescent="0.25">
      <c r="A34" s="101"/>
      <c r="B34" s="123"/>
      <c r="C34" s="76"/>
      <c r="D34" s="124"/>
    </row>
    <row r="35" spans="1:4" x14ac:dyDescent="0.25">
      <c r="A35" s="101"/>
      <c r="B35" s="123"/>
      <c r="C35" s="76"/>
      <c r="D35" s="124"/>
    </row>
    <row r="36" spans="1:4" x14ac:dyDescent="0.25">
      <c r="A36" s="101"/>
      <c r="B36" s="123"/>
      <c r="C36" s="76"/>
      <c r="D36" s="124"/>
    </row>
    <row r="37" spans="1:4" x14ac:dyDescent="0.25">
      <c r="A37" s="101"/>
      <c r="B37" s="123"/>
      <c r="C37" s="76"/>
      <c r="D37" s="124"/>
    </row>
    <row r="38" spans="1:4" x14ac:dyDescent="0.25">
      <c r="A38" s="76"/>
      <c r="B38" s="76"/>
      <c r="C38" s="76"/>
      <c r="D38" s="78"/>
    </row>
    <row r="39" spans="1:4" x14ac:dyDescent="0.25">
      <c r="A39" s="76"/>
      <c r="B39" s="76"/>
      <c r="C39" s="76"/>
      <c r="D39" s="78"/>
    </row>
    <row r="40" spans="1:4" ht="15.75" thickBot="1" x14ac:dyDescent="0.3">
      <c r="A40" s="77"/>
      <c r="B40" s="77"/>
      <c r="C40" s="77"/>
      <c r="D40" s="79"/>
    </row>
    <row r="41" spans="1:4" x14ac:dyDescent="0.25">
      <c r="A41" t="s">
        <v>104</v>
      </c>
    </row>
  </sheetData>
  <mergeCells count="6">
    <mergeCell ref="D7:D8"/>
    <mergeCell ref="A7:A8"/>
    <mergeCell ref="B7:B8"/>
    <mergeCell ref="D12:D14"/>
    <mergeCell ref="A12:A14"/>
    <mergeCell ref="B12:B1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4E3B6-6069-4414-B38C-4916B261F4A2}">
  <sheetPr codeName="Sheet7"/>
  <dimension ref="B1:L19"/>
  <sheetViews>
    <sheetView workbookViewId="0">
      <selection activeCell="G27" sqref="G27"/>
    </sheetView>
  </sheetViews>
  <sheetFormatPr defaultColWidth="8.85546875" defaultRowHeight="15" x14ac:dyDescent="0.25"/>
  <cols>
    <col min="3" max="3" width="12.28515625" bestFit="1" customWidth="1"/>
    <col min="4" max="8" width="14.42578125" bestFit="1" customWidth="1"/>
    <col min="9" max="12" width="12.28515625" bestFit="1" customWidth="1"/>
  </cols>
  <sheetData>
    <row r="1" spans="2:12" ht="43.5" customHeight="1" x14ac:dyDescent="0.4">
      <c r="B1" s="175" t="s">
        <v>105</v>
      </c>
      <c r="C1" s="175"/>
      <c r="D1" s="175"/>
      <c r="E1" s="175"/>
      <c r="F1" s="175"/>
      <c r="G1" s="175"/>
      <c r="H1" s="175"/>
      <c r="I1" s="175"/>
      <c r="J1" s="175"/>
      <c r="K1" s="175"/>
      <c r="L1" s="175"/>
    </row>
    <row r="2" spans="2:12" ht="15.75" thickBot="1" x14ac:dyDescent="0.3"/>
    <row r="3" spans="2:12" ht="18.75" x14ac:dyDescent="0.3">
      <c r="B3" s="107" t="s">
        <v>43</v>
      </c>
      <c r="C3" s="142" t="s">
        <v>384</v>
      </c>
      <c r="D3" s="142" t="s">
        <v>385</v>
      </c>
      <c r="E3" s="142" t="s">
        <v>386</v>
      </c>
      <c r="F3" s="142" t="s">
        <v>387</v>
      </c>
      <c r="G3" s="108" t="s">
        <v>106</v>
      </c>
      <c r="H3" s="108" t="s">
        <v>107</v>
      </c>
      <c r="I3" s="108" t="s">
        <v>108</v>
      </c>
      <c r="J3" s="108" t="s">
        <v>109</v>
      </c>
      <c r="K3" s="108" t="s">
        <v>110</v>
      </c>
      <c r="L3" s="108" t="s">
        <v>111</v>
      </c>
    </row>
    <row r="4" spans="2:12" ht="19.5" thickBot="1" x14ac:dyDescent="0.35">
      <c r="B4" s="129">
        <v>8.5</v>
      </c>
      <c r="C4" s="109">
        <f>142.07+B4*31.37</f>
        <v>408.71499999999997</v>
      </c>
      <c r="D4" s="109">
        <f>149.78+35.77*B4</f>
        <v>453.82500000000005</v>
      </c>
      <c r="E4" s="109">
        <f>152.47+B4*45.45</f>
        <v>538.79500000000007</v>
      </c>
      <c r="F4" s="109">
        <f>154.03+48.37*B4</f>
        <v>565.17499999999995</v>
      </c>
      <c r="G4" s="109">
        <f>37.09*B4 + 137.33</f>
        <v>452.59500000000003</v>
      </c>
      <c r="H4" s="109">
        <f>44.32*B4 + 147.89</f>
        <v>524.61</v>
      </c>
      <c r="I4" s="109">
        <f>50.62*B4 + 151.4</f>
        <v>581.66999999999996</v>
      </c>
      <c r="J4" s="109">
        <f xml:space="preserve"> 52.62*B4 + 147.61</f>
        <v>594.88</v>
      </c>
      <c r="K4" s="109">
        <f xml:space="preserve"> 62.7*B4 + 160.94</f>
        <v>693.8900000000001</v>
      </c>
      <c r="L4" s="110">
        <f xml:space="preserve"> 68.23*B4 + 163.65</f>
        <v>743.60500000000002</v>
      </c>
    </row>
    <row r="6" spans="2:12" ht="15.75" thickBot="1" x14ac:dyDescent="0.3"/>
    <row r="7" spans="2:12" ht="19.5" thickBot="1" x14ac:dyDescent="0.35">
      <c r="B7" s="143" t="s">
        <v>43</v>
      </c>
      <c r="C7" s="144" t="s">
        <v>388</v>
      </c>
      <c r="D7" s="144" t="s">
        <v>389</v>
      </c>
      <c r="E7" s="144" t="s">
        <v>390</v>
      </c>
      <c r="F7" s="144" t="s">
        <v>391</v>
      </c>
      <c r="G7" s="144" t="s">
        <v>112</v>
      </c>
      <c r="H7" s="144" t="s">
        <v>113</v>
      </c>
      <c r="I7" s="144" t="s">
        <v>114</v>
      </c>
      <c r="J7" s="144" t="s">
        <v>115</v>
      </c>
      <c r="K7" s="144" t="s">
        <v>116</v>
      </c>
      <c r="L7" s="145" t="s">
        <v>117</v>
      </c>
    </row>
    <row r="8" spans="2:12" x14ac:dyDescent="0.25">
      <c r="B8" s="146">
        <v>5</v>
      </c>
      <c r="C8" s="111">
        <f>142.07+B8*31.37</f>
        <v>298.91999999999996</v>
      </c>
      <c r="D8" s="111">
        <f>149.78+35.77*B8</f>
        <v>328.63</v>
      </c>
      <c r="E8" s="111">
        <f>152.47+B8*45.45</f>
        <v>379.72</v>
      </c>
      <c r="F8" s="111">
        <f>154.03+48.37*B8</f>
        <v>395.88</v>
      </c>
      <c r="G8" s="111">
        <f>37.09*B8 + 137.33</f>
        <v>322.78000000000003</v>
      </c>
      <c r="H8" s="111">
        <f>44.32*B8 + 147.89</f>
        <v>369.49</v>
      </c>
      <c r="I8" s="111">
        <f>50.62*B8 + 151.4</f>
        <v>404.5</v>
      </c>
      <c r="J8" s="111">
        <f xml:space="preserve"> 52.62*B8 + 147.61</f>
        <v>410.71</v>
      </c>
      <c r="K8" s="111">
        <f xml:space="preserve"> 62.7*B8 + 160.94</f>
        <v>474.44</v>
      </c>
      <c r="L8" s="112">
        <f xml:space="preserve"> 68.23*B8 + 163.65</f>
        <v>504.80000000000007</v>
      </c>
    </row>
    <row r="9" spans="2:12" x14ac:dyDescent="0.25">
      <c r="B9" s="113">
        <v>10</v>
      </c>
      <c r="C9" s="111">
        <f t="shared" ref="C9:C19" si="0">142.07+B9*31.37</f>
        <v>455.77</v>
      </c>
      <c r="D9" s="111">
        <f t="shared" ref="D9:D19" si="1">149.78+35.77*B9</f>
        <v>507.48</v>
      </c>
      <c r="E9" s="111">
        <f t="shared" ref="E9:E19" si="2">152.47+B9*45.45</f>
        <v>606.97</v>
      </c>
      <c r="F9" s="111">
        <f t="shared" ref="F9:F19" si="3">154.03+48.37*B9</f>
        <v>637.73</v>
      </c>
      <c r="G9" s="114">
        <f>37.09*B9 + 137.33</f>
        <v>508.23</v>
      </c>
      <c r="H9" s="114">
        <f t="shared" ref="H9:H19" si="4">44.32*B9 + 147.89</f>
        <v>591.08999999999992</v>
      </c>
      <c r="I9" s="114">
        <f t="shared" ref="I9:I19" si="5">50.62*B9 + 151.4</f>
        <v>657.6</v>
      </c>
      <c r="J9" s="114">
        <f t="shared" ref="J9:J19" si="6" xml:space="preserve"> 52.62*B9 + 147.61</f>
        <v>673.81</v>
      </c>
      <c r="K9" s="114">
        <f t="shared" ref="K9:K19" si="7" xml:space="preserve"> 62.7*B9 + 160.94</f>
        <v>787.94</v>
      </c>
      <c r="L9" s="115">
        <f t="shared" ref="L9:L19" si="8" xml:space="preserve"> 68.23*B9 + 163.65</f>
        <v>845.95</v>
      </c>
    </row>
    <row r="10" spans="2:12" x14ac:dyDescent="0.25">
      <c r="B10" s="113">
        <v>15</v>
      </c>
      <c r="C10" s="111">
        <f t="shared" si="0"/>
        <v>612.62</v>
      </c>
      <c r="D10" s="111">
        <f t="shared" si="1"/>
        <v>686.33</v>
      </c>
      <c r="E10" s="111">
        <f t="shared" si="2"/>
        <v>834.22</v>
      </c>
      <c r="F10" s="111">
        <f t="shared" si="3"/>
        <v>879.57999999999993</v>
      </c>
      <c r="G10" s="114">
        <f t="shared" ref="G10:G19" si="9">37.09*B10 + 137.33</f>
        <v>693.68000000000006</v>
      </c>
      <c r="H10" s="114">
        <f t="shared" si="4"/>
        <v>812.68999999999994</v>
      </c>
      <c r="I10" s="114">
        <f t="shared" si="5"/>
        <v>910.69999999999993</v>
      </c>
      <c r="J10" s="114">
        <f t="shared" si="6"/>
        <v>936.91</v>
      </c>
      <c r="K10" s="114">
        <f t="shared" si="7"/>
        <v>1101.44</v>
      </c>
      <c r="L10" s="115">
        <f t="shared" si="8"/>
        <v>1187.1000000000001</v>
      </c>
    </row>
    <row r="11" spans="2:12" x14ac:dyDescent="0.25">
      <c r="B11" s="113">
        <v>20</v>
      </c>
      <c r="C11" s="111">
        <f t="shared" si="0"/>
        <v>769.47</v>
      </c>
      <c r="D11" s="111">
        <f t="shared" si="1"/>
        <v>865.18000000000006</v>
      </c>
      <c r="E11" s="111">
        <f t="shared" si="2"/>
        <v>1061.47</v>
      </c>
      <c r="F11" s="111">
        <f t="shared" si="3"/>
        <v>1121.43</v>
      </c>
      <c r="G11" s="114">
        <f t="shared" si="9"/>
        <v>879.13000000000011</v>
      </c>
      <c r="H11" s="114">
        <f t="shared" si="4"/>
        <v>1034.29</v>
      </c>
      <c r="I11" s="114">
        <f t="shared" si="5"/>
        <v>1163.8</v>
      </c>
      <c r="J11" s="114">
        <f t="shared" si="6"/>
        <v>1200.0099999999998</v>
      </c>
      <c r="K11" s="114">
        <f t="shared" si="7"/>
        <v>1414.94</v>
      </c>
      <c r="L11" s="115">
        <f t="shared" si="8"/>
        <v>1528.2500000000002</v>
      </c>
    </row>
    <row r="12" spans="2:12" x14ac:dyDescent="0.25">
      <c r="B12" s="113">
        <v>25</v>
      </c>
      <c r="C12" s="111">
        <f t="shared" si="0"/>
        <v>926.31999999999994</v>
      </c>
      <c r="D12" s="111">
        <f t="shared" si="1"/>
        <v>1044.0300000000002</v>
      </c>
      <c r="E12" s="111">
        <f t="shared" si="2"/>
        <v>1288.72</v>
      </c>
      <c r="F12" s="111">
        <f t="shared" si="3"/>
        <v>1363.28</v>
      </c>
      <c r="G12" s="114">
        <f t="shared" si="9"/>
        <v>1064.5800000000002</v>
      </c>
      <c r="H12" s="114">
        <f t="shared" si="4"/>
        <v>1255.8899999999999</v>
      </c>
      <c r="I12" s="114">
        <f t="shared" si="5"/>
        <v>1416.9</v>
      </c>
      <c r="J12" s="114">
        <f t="shared" si="6"/>
        <v>1463.1100000000001</v>
      </c>
      <c r="K12" s="114">
        <f t="shared" si="7"/>
        <v>1728.44</v>
      </c>
      <c r="L12" s="115">
        <f t="shared" si="8"/>
        <v>1869.4</v>
      </c>
    </row>
    <row r="13" spans="2:12" x14ac:dyDescent="0.25">
      <c r="B13" s="113">
        <v>30</v>
      </c>
      <c r="C13" s="111">
        <f t="shared" si="0"/>
        <v>1083.17</v>
      </c>
      <c r="D13" s="111">
        <f t="shared" si="1"/>
        <v>1222.8800000000001</v>
      </c>
      <c r="E13" s="111">
        <f t="shared" si="2"/>
        <v>1515.97</v>
      </c>
      <c r="F13" s="111">
        <f t="shared" si="3"/>
        <v>1605.1299999999999</v>
      </c>
      <c r="G13" s="114">
        <f t="shared" si="9"/>
        <v>1250.03</v>
      </c>
      <c r="H13" s="114">
        <f t="shared" si="4"/>
        <v>1477.4899999999998</v>
      </c>
      <c r="I13" s="114">
        <f t="shared" si="5"/>
        <v>1670</v>
      </c>
      <c r="J13" s="114">
        <f t="shared" si="6"/>
        <v>1726.21</v>
      </c>
      <c r="K13" s="114">
        <f t="shared" si="7"/>
        <v>2041.94</v>
      </c>
      <c r="L13" s="115">
        <f t="shared" si="8"/>
        <v>2210.5500000000002</v>
      </c>
    </row>
    <row r="14" spans="2:12" x14ac:dyDescent="0.25">
      <c r="B14" s="113">
        <v>35</v>
      </c>
      <c r="C14" s="111">
        <f t="shared" si="0"/>
        <v>1240.02</v>
      </c>
      <c r="D14" s="111">
        <f t="shared" si="1"/>
        <v>1401.73</v>
      </c>
      <c r="E14" s="111">
        <f t="shared" si="2"/>
        <v>1743.22</v>
      </c>
      <c r="F14" s="111">
        <f t="shared" si="3"/>
        <v>1846.9799999999998</v>
      </c>
      <c r="G14" s="114">
        <f t="shared" si="9"/>
        <v>1435.48</v>
      </c>
      <c r="H14" s="114">
        <f t="shared" si="4"/>
        <v>1699.0900000000001</v>
      </c>
      <c r="I14" s="114">
        <f t="shared" si="5"/>
        <v>1923.1</v>
      </c>
      <c r="J14" s="114">
        <f t="shared" si="6"/>
        <v>1989.31</v>
      </c>
      <c r="K14" s="114">
        <f t="shared" si="7"/>
        <v>2355.44</v>
      </c>
      <c r="L14" s="115">
        <f t="shared" si="8"/>
        <v>2551.7000000000003</v>
      </c>
    </row>
    <row r="15" spans="2:12" x14ac:dyDescent="0.25">
      <c r="B15" s="113">
        <v>40</v>
      </c>
      <c r="C15" s="111">
        <f t="shared" si="0"/>
        <v>1396.87</v>
      </c>
      <c r="D15" s="111">
        <f t="shared" si="1"/>
        <v>1580.5800000000002</v>
      </c>
      <c r="E15" s="111">
        <f t="shared" si="2"/>
        <v>1970.47</v>
      </c>
      <c r="F15" s="111">
        <f t="shared" si="3"/>
        <v>2088.83</v>
      </c>
      <c r="G15" s="114">
        <f t="shared" si="9"/>
        <v>1620.93</v>
      </c>
      <c r="H15" s="114">
        <f t="shared" si="4"/>
        <v>1920.69</v>
      </c>
      <c r="I15" s="114">
        <f t="shared" si="5"/>
        <v>2176.1999999999998</v>
      </c>
      <c r="J15" s="114">
        <f t="shared" si="6"/>
        <v>2252.41</v>
      </c>
      <c r="K15" s="114">
        <f t="shared" si="7"/>
        <v>2668.94</v>
      </c>
      <c r="L15" s="115">
        <f t="shared" si="8"/>
        <v>2892.8500000000004</v>
      </c>
    </row>
    <row r="16" spans="2:12" x14ac:dyDescent="0.25">
      <c r="B16" s="113">
        <v>45</v>
      </c>
      <c r="C16" s="111">
        <f t="shared" si="0"/>
        <v>1553.72</v>
      </c>
      <c r="D16" s="111">
        <f t="shared" si="1"/>
        <v>1759.43</v>
      </c>
      <c r="E16" s="111">
        <f t="shared" si="2"/>
        <v>2197.7200000000003</v>
      </c>
      <c r="F16" s="111">
        <f t="shared" si="3"/>
        <v>2330.6800000000003</v>
      </c>
      <c r="G16" s="114">
        <f t="shared" si="9"/>
        <v>1806.38</v>
      </c>
      <c r="H16" s="114">
        <f t="shared" si="4"/>
        <v>2142.29</v>
      </c>
      <c r="I16" s="114">
        <f t="shared" si="5"/>
        <v>2429.3000000000002</v>
      </c>
      <c r="J16" s="114">
        <f t="shared" si="6"/>
        <v>2515.5100000000002</v>
      </c>
      <c r="K16" s="114">
        <f t="shared" si="7"/>
        <v>2982.44</v>
      </c>
      <c r="L16" s="115">
        <f t="shared" si="8"/>
        <v>3234.0000000000005</v>
      </c>
    </row>
    <row r="17" spans="2:12" x14ac:dyDescent="0.25">
      <c r="B17" s="113">
        <v>50</v>
      </c>
      <c r="C17" s="111">
        <f t="shared" si="0"/>
        <v>1710.57</v>
      </c>
      <c r="D17" s="111">
        <f t="shared" si="1"/>
        <v>1938.2800000000002</v>
      </c>
      <c r="E17" s="111">
        <f t="shared" si="2"/>
        <v>2424.9699999999998</v>
      </c>
      <c r="F17" s="111">
        <f t="shared" si="3"/>
        <v>2572.5300000000002</v>
      </c>
      <c r="G17" s="114">
        <f t="shared" si="9"/>
        <v>1991.8300000000002</v>
      </c>
      <c r="H17" s="114">
        <f t="shared" si="4"/>
        <v>2363.89</v>
      </c>
      <c r="I17" s="114">
        <f t="shared" si="5"/>
        <v>2682.4</v>
      </c>
      <c r="J17" s="114">
        <f t="shared" si="6"/>
        <v>2778.61</v>
      </c>
      <c r="K17" s="114">
        <f t="shared" si="7"/>
        <v>3295.94</v>
      </c>
      <c r="L17" s="115">
        <f t="shared" si="8"/>
        <v>3575.15</v>
      </c>
    </row>
    <row r="18" spans="2:12" x14ac:dyDescent="0.25">
      <c r="B18" s="113">
        <v>55</v>
      </c>
      <c r="C18" s="111">
        <f t="shared" si="0"/>
        <v>1867.42</v>
      </c>
      <c r="D18" s="111">
        <f t="shared" si="1"/>
        <v>2117.13</v>
      </c>
      <c r="E18" s="111">
        <f t="shared" si="2"/>
        <v>2652.22</v>
      </c>
      <c r="F18" s="111">
        <f t="shared" si="3"/>
        <v>2814.38</v>
      </c>
      <c r="G18" s="114">
        <f t="shared" si="9"/>
        <v>2177.2800000000002</v>
      </c>
      <c r="H18" s="114">
        <f t="shared" si="4"/>
        <v>2585.4899999999998</v>
      </c>
      <c r="I18" s="114">
        <f t="shared" si="5"/>
        <v>2935.5</v>
      </c>
      <c r="J18" s="114">
        <f t="shared" si="6"/>
        <v>3041.71</v>
      </c>
      <c r="K18" s="114">
        <f t="shared" si="7"/>
        <v>3609.44</v>
      </c>
      <c r="L18" s="115">
        <f t="shared" si="8"/>
        <v>3916.3</v>
      </c>
    </row>
    <row r="19" spans="2:12" ht="15.75" thickBot="1" x14ac:dyDescent="0.3">
      <c r="B19" s="116">
        <v>60</v>
      </c>
      <c r="C19" s="111">
        <f t="shared" si="0"/>
        <v>2024.27</v>
      </c>
      <c r="D19" s="111">
        <f t="shared" si="1"/>
        <v>2295.9800000000005</v>
      </c>
      <c r="E19" s="111">
        <f t="shared" si="2"/>
        <v>2879.47</v>
      </c>
      <c r="F19" s="111">
        <f t="shared" si="3"/>
        <v>3056.23</v>
      </c>
      <c r="G19" s="117">
        <f t="shared" si="9"/>
        <v>2362.73</v>
      </c>
      <c r="H19" s="117">
        <f t="shared" si="4"/>
        <v>2807.0899999999997</v>
      </c>
      <c r="I19" s="117">
        <f t="shared" si="5"/>
        <v>3188.6</v>
      </c>
      <c r="J19" s="117">
        <f t="shared" si="6"/>
        <v>3304.81</v>
      </c>
      <c r="K19" s="117">
        <f t="shared" si="7"/>
        <v>3922.94</v>
      </c>
      <c r="L19" s="118">
        <f t="shared" si="8"/>
        <v>4257.45</v>
      </c>
    </row>
  </sheetData>
  <mergeCells count="1">
    <mergeCell ref="B1:L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3B03B-B12E-435D-886B-9B663968C68E}">
  <sheetPr codeName="Sheet4"/>
  <dimension ref="A1:E341"/>
  <sheetViews>
    <sheetView topLeftCell="A131" zoomScaleNormal="100" workbookViewId="0">
      <selection activeCell="I25" sqref="I25"/>
    </sheetView>
  </sheetViews>
  <sheetFormatPr defaultColWidth="9.140625" defaultRowHeight="15" x14ac:dyDescent="0.25"/>
  <cols>
    <col min="1" max="1" width="9.140625" style="23"/>
    <col min="3" max="3" width="13.140625" customWidth="1"/>
    <col min="4" max="4" width="34.42578125" bestFit="1" customWidth="1"/>
    <col min="6" max="6" width="15.7109375" customWidth="1"/>
  </cols>
  <sheetData>
    <row r="1" spans="1:5" x14ac:dyDescent="0.25">
      <c r="A1" s="23" t="s">
        <v>118</v>
      </c>
    </row>
    <row r="2" spans="1:5" x14ac:dyDescent="0.25">
      <c r="A2" s="23">
        <f>IF(AND(Sheet3!B2=Sheet1!$Y$5,Sheet3!C2=Sheet1!$Y$6),1,0)</f>
        <v>0</v>
      </c>
      <c r="B2" s="25" t="s">
        <v>119</v>
      </c>
      <c r="C2" s="25">
        <v>0.25</v>
      </c>
      <c r="D2" s="148" t="s">
        <v>120</v>
      </c>
      <c r="E2" s="25"/>
    </row>
    <row r="3" spans="1:5" x14ac:dyDescent="0.25">
      <c r="B3" s="24" t="s">
        <v>28</v>
      </c>
      <c r="C3" s="24" t="s">
        <v>29</v>
      </c>
      <c r="D3" s="24" t="s">
        <v>30</v>
      </c>
      <c r="E3" s="24" t="s">
        <v>31</v>
      </c>
    </row>
    <row r="4" spans="1:5" x14ac:dyDescent="0.25">
      <c r="B4" s="30">
        <v>1</v>
      </c>
      <c r="C4" s="30" t="s">
        <v>121</v>
      </c>
      <c r="D4" s="30" t="s">
        <v>122</v>
      </c>
      <c r="E4" s="30">
        <v>1</v>
      </c>
    </row>
    <row r="5" spans="1:5" x14ac:dyDescent="0.25">
      <c r="B5" s="30">
        <v>2</v>
      </c>
      <c r="C5" s="30" t="s">
        <v>123</v>
      </c>
      <c r="D5" s="30" t="s">
        <v>124</v>
      </c>
      <c r="E5" s="30">
        <v>2</v>
      </c>
    </row>
    <row r="6" spans="1:5" x14ac:dyDescent="0.25">
      <c r="B6" s="30">
        <v>3</v>
      </c>
      <c r="C6" s="30" t="s">
        <v>125</v>
      </c>
      <c r="D6" s="30" t="s">
        <v>126</v>
      </c>
      <c r="E6" s="30">
        <v>1</v>
      </c>
    </row>
    <row r="7" spans="1:5" x14ac:dyDescent="0.25">
      <c r="B7" s="30">
        <v>4</v>
      </c>
      <c r="C7" s="30" t="s">
        <v>127</v>
      </c>
      <c r="D7" s="30" t="s">
        <v>128</v>
      </c>
      <c r="E7" s="30">
        <v>1</v>
      </c>
    </row>
    <row r="8" spans="1:5" x14ac:dyDescent="0.25">
      <c r="B8" s="30">
        <v>5</v>
      </c>
      <c r="C8" s="30" t="s">
        <v>129</v>
      </c>
      <c r="D8" s="30" t="s">
        <v>130</v>
      </c>
      <c r="E8" s="30">
        <v>2</v>
      </c>
    </row>
    <row r="9" spans="1:5" x14ac:dyDescent="0.25">
      <c r="B9" s="30">
        <v>6</v>
      </c>
      <c r="C9" s="30" t="s">
        <v>56</v>
      </c>
      <c r="D9" s="30" t="s">
        <v>57</v>
      </c>
      <c r="E9" s="30">
        <v>7.0999999999999994E-2</v>
      </c>
    </row>
    <row r="10" spans="1:5" x14ac:dyDescent="0.25">
      <c r="B10" s="30"/>
      <c r="C10" s="30"/>
      <c r="D10" s="30"/>
      <c r="E10" s="30"/>
    </row>
    <row r="11" spans="1:5" x14ac:dyDescent="0.25">
      <c r="B11" s="30"/>
      <c r="C11" s="30"/>
      <c r="D11" s="30"/>
      <c r="E11" s="30"/>
    </row>
    <row r="12" spans="1:5" x14ac:dyDescent="0.25">
      <c r="B12" s="30"/>
      <c r="C12" s="30"/>
      <c r="D12" s="30"/>
      <c r="E12" s="30"/>
    </row>
    <row r="13" spans="1:5" x14ac:dyDescent="0.25">
      <c r="B13" s="30"/>
      <c r="C13" s="30"/>
      <c r="D13" s="30"/>
      <c r="E13" s="30"/>
    </row>
    <row r="14" spans="1:5" x14ac:dyDescent="0.25">
      <c r="B14" s="30"/>
      <c r="C14" s="30"/>
      <c r="D14" s="30"/>
      <c r="E14" s="30"/>
    </row>
    <row r="15" spans="1:5" x14ac:dyDescent="0.25">
      <c r="B15" s="30"/>
      <c r="C15" s="30"/>
      <c r="D15" s="30"/>
      <c r="E15" s="30"/>
    </row>
    <row r="16" spans="1:5" x14ac:dyDescent="0.25">
      <c r="B16" s="30"/>
      <c r="C16" s="30"/>
      <c r="D16" s="30"/>
      <c r="E16" s="30"/>
    </row>
    <row r="17" spans="1:5" x14ac:dyDescent="0.25">
      <c r="B17" s="30"/>
      <c r="C17" s="30"/>
      <c r="D17" s="30"/>
      <c r="E17" s="30"/>
    </row>
    <row r="18" spans="1:5" x14ac:dyDescent="0.25">
      <c r="B18" s="25"/>
      <c r="C18" s="25"/>
      <c r="D18" s="25"/>
      <c r="E18" s="25"/>
    </row>
    <row r="19" spans="1:5" x14ac:dyDescent="0.25">
      <c r="A19" s="23">
        <f>IF(AND(Sheet3!B19=Sheet1!$Y$5,Sheet3!C19=Sheet1!$Y$6),1,0)</f>
        <v>0</v>
      </c>
      <c r="B19" s="25" t="s">
        <v>131</v>
      </c>
      <c r="C19" s="25">
        <v>0.25</v>
      </c>
      <c r="D19" s="84" t="s">
        <v>132</v>
      </c>
      <c r="E19" s="25"/>
    </row>
    <row r="20" spans="1:5" x14ac:dyDescent="0.25">
      <c r="B20" s="24" t="s">
        <v>28</v>
      </c>
      <c r="C20" s="24" t="s">
        <v>29</v>
      </c>
      <c r="D20" s="24" t="s">
        <v>30</v>
      </c>
      <c r="E20" s="24" t="s">
        <v>31</v>
      </c>
    </row>
    <row r="21" spans="1:5" x14ac:dyDescent="0.25">
      <c r="B21" s="30">
        <v>1</v>
      </c>
      <c r="C21" s="30" t="s">
        <v>133</v>
      </c>
      <c r="D21" s="30" t="s">
        <v>134</v>
      </c>
      <c r="E21" s="30">
        <v>1</v>
      </c>
    </row>
    <row r="22" spans="1:5" x14ac:dyDescent="0.25">
      <c r="B22" s="30">
        <v>2</v>
      </c>
      <c r="C22" s="30" t="s">
        <v>135</v>
      </c>
      <c r="D22" s="30" t="s">
        <v>136</v>
      </c>
      <c r="E22" s="30">
        <v>2</v>
      </c>
    </row>
    <row r="23" spans="1:5" x14ac:dyDescent="0.25">
      <c r="B23" s="30">
        <v>3</v>
      </c>
      <c r="C23" s="30" t="s">
        <v>123</v>
      </c>
      <c r="D23" s="30" t="s">
        <v>124</v>
      </c>
      <c r="E23" s="30">
        <v>2</v>
      </c>
    </row>
    <row r="24" spans="1:5" x14ac:dyDescent="0.25">
      <c r="B24" s="30">
        <v>4</v>
      </c>
      <c r="C24" s="30" t="s">
        <v>137</v>
      </c>
      <c r="D24" s="30" t="s">
        <v>138</v>
      </c>
      <c r="E24" s="30">
        <v>1</v>
      </c>
    </row>
    <row r="25" spans="1:5" x14ac:dyDescent="0.25">
      <c r="B25" s="30">
        <v>5</v>
      </c>
      <c r="C25" s="30" t="s">
        <v>127</v>
      </c>
      <c r="D25" s="30" t="s">
        <v>128</v>
      </c>
      <c r="E25" s="30">
        <v>1</v>
      </c>
    </row>
    <row r="26" spans="1:5" x14ac:dyDescent="0.25">
      <c r="B26" s="30">
        <v>6</v>
      </c>
      <c r="C26" s="30" t="s">
        <v>129</v>
      </c>
      <c r="D26" s="30" t="s">
        <v>130</v>
      </c>
      <c r="E26" s="30">
        <v>2</v>
      </c>
    </row>
    <row r="27" spans="1:5" x14ac:dyDescent="0.25">
      <c r="B27" s="30">
        <v>7</v>
      </c>
      <c r="C27" s="30" t="s">
        <v>56</v>
      </c>
      <c r="D27" s="30" t="s">
        <v>57</v>
      </c>
      <c r="E27" s="30">
        <v>7.0999999999999994E-2</v>
      </c>
    </row>
    <row r="28" spans="1:5" x14ac:dyDescent="0.25">
      <c r="B28" s="30"/>
      <c r="C28" s="30"/>
      <c r="D28" s="30"/>
      <c r="E28" s="30"/>
    </row>
    <row r="29" spans="1:5" x14ac:dyDescent="0.25">
      <c r="B29" s="30"/>
      <c r="C29" s="30"/>
      <c r="D29" s="30"/>
      <c r="E29" s="30"/>
    </row>
    <row r="30" spans="1:5" x14ac:dyDescent="0.25">
      <c r="B30" s="30"/>
      <c r="C30" s="30"/>
      <c r="D30" s="30"/>
      <c r="E30" s="30"/>
    </row>
    <row r="31" spans="1:5" x14ac:dyDescent="0.25">
      <c r="B31" s="30"/>
      <c r="C31" s="30"/>
      <c r="D31" s="30"/>
      <c r="E31" s="30"/>
    </row>
    <row r="32" spans="1:5" x14ac:dyDescent="0.25">
      <c r="B32" s="30"/>
      <c r="C32" s="30"/>
      <c r="D32" s="30"/>
      <c r="E32" s="30"/>
    </row>
    <row r="33" spans="1:5" x14ac:dyDescent="0.25">
      <c r="B33" s="30"/>
      <c r="C33" s="30"/>
      <c r="D33" s="30"/>
      <c r="E33" s="30"/>
    </row>
    <row r="34" spans="1:5" x14ac:dyDescent="0.25">
      <c r="B34" s="30"/>
      <c r="C34" s="30"/>
      <c r="D34" s="30"/>
      <c r="E34" s="30"/>
    </row>
    <row r="35" spans="1:5" x14ac:dyDescent="0.25">
      <c r="B35" s="25"/>
      <c r="C35" s="25"/>
      <c r="D35" s="25"/>
      <c r="E35" s="25"/>
    </row>
    <row r="36" spans="1:5" x14ac:dyDescent="0.25">
      <c r="A36" s="23">
        <f>IF(AND(Sheet3!B36=Sheet1!$Y$5,Sheet3!C36=Sheet1!$Y$6),1,0)</f>
        <v>0</v>
      </c>
      <c r="B36" s="25" t="s">
        <v>119</v>
      </c>
      <c r="C36" s="25">
        <v>0.5</v>
      </c>
      <c r="D36" s="39" t="s">
        <v>139</v>
      </c>
      <c r="E36" s="25"/>
    </row>
    <row r="37" spans="1:5" x14ac:dyDescent="0.25">
      <c r="B37" s="24" t="s">
        <v>28</v>
      </c>
      <c r="C37" s="24" t="s">
        <v>29</v>
      </c>
      <c r="D37" s="24" t="s">
        <v>30</v>
      </c>
      <c r="E37" s="24" t="s">
        <v>31</v>
      </c>
    </row>
    <row r="38" spans="1:5" x14ac:dyDescent="0.25">
      <c r="B38" s="30">
        <v>1</v>
      </c>
      <c r="C38" s="30" t="s">
        <v>140</v>
      </c>
      <c r="D38" s="30" t="s">
        <v>141</v>
      </c>
      <c r="E38" s="30">
        <v>1</v>
      </c>
    </row>
    <row r="39" spans="1:5" x14ac:dyDescent="0.25">
      <c r="B39" s="30">
        <v>2</v>
      </c>
      <c r="C39" s="30" t="s">
        <v>142</v>
      </c>
      <c r="D39" s="30" t="s">
        <v>143</v>
      </c>
      <c r="E39" s="30">
        <v>2</v>
      </c>
    </row>
    <row r="40" spans="1:5" x14ac:dyDescent="0.25">
      <c r="B40" s="30">
        <v>3</v>
      </c>
      <c r="C40" s="30" t="s">
        <v>137</v>
      </c>
      <c r="D40" s="30" t="s">
        <v>138</v>
      </c>
      <c r="E40" s="30">
        <v>1</v>
      </c>
    </row>
    <row r="41" spans="1:5" x14ac:dyDescent="0.25">
      <c r="B41" s="30">
        <v>4</v>
      </c>
      <c r="C41" s="30" t="s">
        <v>144</v>
      </c>
      <c r="D41" s="30" t="s">
        <v>145</v>
      </c>
      <c r="E41" s="30">
        <v>1</v>
      </c>
    </row>
    <row r="42" spans="1:5" x14ac:dyDescent="0.25">
      <c r="B42" s="30">
        <v>5</v>
      </c>
      <c r="C42" s="30" t="s">
        <v>146</v>
      </c>
      <c r="D42" s="30" t="s">
        <v>147</v>
      </c>
      <c r="E42" s="30">
        <v>2</v>
      </c>
    </row>
    <row r="43" spans="1:5" x14ac:dyDescent="0.25">
      <c r="B43" s="30">
        <v>6</v>
      </c>
      <c r="C43" s="30" t="s">
        <v>56</v>
      </c>
      <c r="D43" s="30" t="s">
        <v>57</v>
      </c>
      <c r="E43" s="30">
        <v>7.0999999999999994E-2</v>
      </c>
    </row>
    <row r="44" spans="1:5" x14ac:dyDescent="0.25">
      <c r="B44" s="30"/>
      <c r="C44" s="30"/>
      <c r="D44" s="30"/>
      <c r="E44" s="30"/>
    </row>
    <row r="45" spans="1:5" x14ac:dyDescent="0.25">
      <c r="B45" s="30"/>
      <c r="C45" s="30"/>
      <c r="D45" s="30"/>
      <c r="E45" s="30"/>
    </row>
    <row r="46" spans="1:5" x14ac:dyDescent="0.25">
      <c r="B46" s="30"/>
      <c r="C46" s="30"/>
      <c r="D46" s="30"/>
      <c r="E46" s="30"/>
    </row>
    <row r="47" spans="1:5" x14ac:dyDescent="0.25">
      <c r="B47" s="30"/>
      <c r="C47" s="30"/>
      <c r="D47" s="30"/>
      <c r="E47" s="30"/>
    </row>
    <row r="48" spans="1:5" x14ac:dyDescent="0.25">
      <c r="B48" s="30"/>
      <c r="C48" s="30"/>
      <c r="D48" s="30"/>
      <c r="E48" s="30"/>
    </row>
    <row r="49" spans="1:5" x14ac:dyDescent="0.25">
      <c r="B49" s="30"/>
      <c r="C49" s="30"/>
      <c r="D49" s="30"/>
      <c r="E49" s="30"/>
    </row>
    <row r="50" spans="1:5" x14ac:dyDescent="0.25">
      <c r="B50" s="30"/>
      <c r="C50" s="30"/>
      <c r="D50" s="30"/>
      <c r="E50" s="30"/>
    </row>
    <row r="51" spans="1:5" x14ac:dyDescent="0.25">
      <c r="B51" s="30"/>
      <c r="C51" s="30"/>
      <c r="D51" s="30"/>
      <c r="E51" s="30"/>
    </row>
    <row r="52" spans="1:5" x14ac:dyDescent="0.25">
      <c r="B52" s="25"/>
      <c r="C52" s="25"/>
      <c r="D52" s="25"/>
      <c r="E52" s="25"/>
    </row>
    <row r="53" spans="1:5" x14ac:dyDescent="0.25">
      <c r="A53" s="23">
        <f>IF(AND(Sheet3!B53=Sheet1!$Y$5,Sheet3!C53=Sheet1!$Y$6),1,0)</f>
        <v>0</v>
      </c>
      <c r="B53" s="25" t="s">
        <v>131</v>
      </c>
      <c r="C53" s="25">
        <v>0.5</v>
      </c>
      <c r="D53" s="39" t="s">
        <v>148</v>
      </c>
      <c r="E53" s="25"/>
    </row>
    <row r="54" spans="1:5" x14ac:dyDescent="0.25">
      <c r="B54" s="24" t="s">
        <v>28</v>
      </c>
      <c r="C54" s="24" t="s">
        <v>29</v>
      </c>
      <c r="D54" s="24" t="s">
        <v>30</v>
      </c>
      <c r="E54" s="24" t="s">
        <v>31</v>
      </c>
    </row>
    <row r="55" spans="1:5" x14ac:dyDescent="0.25">
      <c r="B55" s="30">
        <v>1</v>
      </c>
      <c r="C55" s="30" t="s">
        <v>149</v>
      </c>
      <c r="D55" s="30" t="s">
        <v>150</v>
      </c>
      <c r="E55" s="30">
        <v>1</v>
      </c>
    </row>
    <row r="56" spans="1:5" x14ac:dyDescent="0.25">
      <c r="B56" s="30">
        <v>2</v>
      </c>
      <c r="C56" s="30" t="s">
        <v>151</v>
      </c>
      <c r="D56" s="30" t="s">
        <v>397</v>
      </c>
      <c r="E56" s="30">
        <v>2</v>
      </c>
    </row>
    <row r="57" spans="1:5" x14ac:dyDescent="0.25">
      <c r="B57" s="30">
        <v>3</v>
      </c>
      <c r="C57" s="30" t="s">
        <v>142</v>
      </c>
      <c r="D57" s="30" t="s">
        <v>143</v>
      </c>
      <c r="E57" s="30">
        <v>2</v>
      </c>
    </row>
    <row r="58" spans="1:5" x14ac:dyDescent="0.25">
      <c r="B58" s="30">
        <v>4</v>
      </c>
      <c r="C58" s="30" t="s">
        <v>153</v>
      </c>
      <c r="D58" s="30" t="s">
        <v>154</v>
      </c>
      <c r="E58" s="30">
        <v>1</v>
      </c>
    </row>
    <row r="59" spans="1:5" x14ac:dyDescent="0.25">
      <c r="B59" s="30">
        <v>5</v>
      </c>
      <c r="C59" s="30" t="s">
        <v>144</v>
      </c>
      <c r="D59" s="30" t="s">
        <v>145</v>
      </c>
      <c r="E59" s="30">
        <v>1</v>
      </c>
    </row>
    <row r="60" spans="1:5" x14ac:dyDescent="0.25">
      <c r="B60" s="30">
        <v>6</v>
      </c>
      <c r="C60" s="30" t="s">
        <v>146</v>
      </c>
      <c r="D60" s="30" t="s">
        <v>147</v>
      </c>
      <c r="E60" s="30">
        <v>2</v>
      </c>
    </row>
    <row r="61" spans="1:5" x14ac:dyDescent="0.25">
      <c r="B61" s="30">
        <v>7</v>
      </c>
      <c r="C61" s="30" t="s">
        <v>56</v>
      </c>
      <c r="D61" s="30" t="s">
        <v>57</v>
      </c>
      <c r="E61" s="30">
        <v>7.0999999999999994E-2</v>
      </c>
    </row>
    <row r="62" spans="1:5" x14ac:dyDescent="0.25">
      <c r="B62" s="30"/>
      <c r="C62" s="30"/>
      <c r="D62" s="30"/>
      <c r="E62" s="30"/>
    </row>
    <row r="63" spans="1:5" x14ac:dyDescent="0.25">
      <c r="B63" s="30"/>
      <c r="C63" s="30"/>
      <c r="D63" s="30"/>
      <c r="E63" s="30"/>
    </row>
    <row r="64" spans="1:5" x14ac:dyDescent="0.25">
      <c r="B64" s="30"/>
      <c r="C64" s="30"/>
      <c r="D64" s="30"/>
      <c r="E64" s="30"/>
    </row>
    <row r="65" spans="1:5" x14ac:dyDescent="0.25">
      <c r="B65" s="30"/>
      <c r="C65" s="30"/>
      <c r="D65" s="30"/>
      <c r="E65" s="30"/>
    </row>
    <row r="66" spans="1:5" x14ac:dyDescent="0.25">
      <c r="B66" s="30"/>
      <c r="C66" s="30"/>
      <c r="D66" s="30"/>
      <c r="E66" s="30"/>
    </row>
    <row r="67" spans="1:5" x14ac:dyDescent="0.25">
      <c r="B67" s="30"/>
      <c r="C67" s="30"/>
      <c r="D67" s="30"/>
      <c r="E67" s="30"/>
    </row>
    <row r="68" spans="1:5" x14ac:dyDescent="0.25">
      <c r="B68" s="30"/>
      <c r="C68" s="30"/>
      <c r="D68" s="30"/>
      <c r="E68" s="30"/>
    </row>
    <row r="69" spans="1:5" x14ac:dyDescent="0.25">
      <c r="B69" s="25"/>
      <c r="C69" s="25"/>
      <c r="D69" s="25"/>
      <c r="E69" s="25"/>
    </row>
    <row r="70" spans="1:5" x14ac:dyDescent="0.25">
      <c r="A70" s="23">
        <f>IF(AND(Sheet3!B70=Sheet1!$Y$5,Sheet3!C70=Sheet1!$Y$6),1,0)</f>
        <v>0</v>
      </c>
      <c r="B70" s="25" t="s">
        <v>13</v>
      </c>
      <c r="C70" s="25">
        <v>0.5</v>
      </c>
      <c r="D70" s="39" t="s">
        <v>155</v>
      </c>
      <c r="E70" s="25"/>
    </row>
    <row r="71" spans="1:5" x14ac:dyDescent="0.25">
      <c r="B71" s="24" t="s">
        <v>28</v>
      </c>
      <c r="C71" s="24" t="s">
        <v>29</v>
      </c>
      <c r="D71" s="24" t="s">
        <v>30</v>
      </c>
      <c r="E71" s="24" t="s">
        <v>31</v>
      </c>
    </row>
    <row r="72" spans="1:5" x14ac:dyDescent="0.25">
      <c r="B72" s="30">
        <v>1</v>
      </c>
      <c r="C72" s="30" t="s">
        <v>140</v>
      </c>
      <c r="D72" s="30" t="s">
        <v>141</v>
      </c>
      <c r="E72" s="30">
        <v>1</v>
      </c>
    </row>
    <row r="73" spans="1:5" x14ac:dyDescent="0.25">
      <c r="B73" s="30">
        <v>2</v>
      </c>
      <c r="C73" s="30" t="s">
        <v>142</v>
      </c>
      <c r="D73" s="30" t="s">
        <v>143</v>
      </c>
      <c r="E73" s="30">
        <v>2</v>
      </c>
    </row>
    <row r="74" spans="1:5" x14ac:dyDescent="0.25">
      <c r="B74" s="30">
        <v>3</v>
      </c>
      <c r="C74" s="30" t="s">
        <v>38</v>
      </c>
      <c r="D74" s="30" t="s">
        <v>39</v>
      </c>
      <c r="E74" s="30">
        <v>6</v>
      </c>
    </row>
    <row r="75" spans="1:5" x14ac:dyDescent="0.25">
      <c r="B75" s="30">
        <v>4</v>
      </c>
      <c r="C75" s="30" t="s">
        <v>40</v>
      </c>
      <c r="D75" s="30" t="s">
        <v>41</v>
      </c>
      <c r="E75" s="30">
        <v>6</v>
      </c>
    </row>
    <row r="76" spans="1:5" x14ac:dyDescent="0.25">
      <c r="B76" s="30">
        <v>5</v>
      </c>
      <c r="C76" s="30" t="s">
        <v>47</v>
      </c>
      <c r="D76" s="30" t="s">
        <v>48</v>
      </c>
      <c r="E76" s="30">
        <v>1</v>
      </c>
    </row>
    <row r="77" spans="1:5" x14ac:dyDescent="0.25">
      <c r="B77" s="30">
        <v>6</v>
      </c>
      <c r="C77" s="30" t="s">
        <v>49</v>
      </c>
      <c r="D77" s="30" t="s">
        <v>50</v>
      </c>
      <c r="E77" s="30">
        <v>1</v>
      </c>
    </row>
    <row r="78" spans="1:5" x14ac:dyDescent="0.25">
      <c r="B78" s="30">
        <v>7</v>
      </c>
      <c r="C78" s="30" t="s">
        <v>156</v>
      </c>
      <c r="D78" s="30" t="s">
        <v>157</v>
      </c>
      <c r="E78" s="30">
        <v>2</v>
      </c>
    </row>
    <row r="79" spans="1:5" x14ac:dyDescent="0.25">
      <c r="B79" s="30">
        <v>8</v>
      </c>
      <c r="C79" s="30" t="s">
        <v>56</v>
      </c>
      <c r="D79" s="30" t="s">
        <v>57</v>
      </c>
      <c r="E79" s="30">
        <v>7.0999999999999994E-2</v>
      </c>
    </row>
    <row r="80" spans="1:5" x14ac:dyDescent="0.25">
      <c r="B80" s="30"/>
      <c r="C80" s="30"/>
      <c r="D80" s="30"/>
      <c r="E80" s="30"/>
    </row>
    <row r="81" spans="1:5" x14ac:dyDescent="0.25">
      <c r="B81" s="30"/>
      <c r="C81" s="30"/>
      <c r="D81" s="30"/>
      <c r="E81" s="30"/>
    </row>
    <row r="82" spans="1:5" x14ac:dyDescent="0.25">
      <c r="B82" s="30"/>
      <c r="C82" s="30"/>
      <c r="D82" s="30"/>
      <c r="E82" s="30"/>
    </row>
    <row r="83" spans="1:5" x14ac:dyDescent="0.25">
      <c r="B83" s="30"/>
      <c r="C83" s="30"/>
      <c r="D83" s="30"/>
      <c r="E83" s="30"/>
    </row>
    <row r="84" spans="1:5" x14ac:dyDescent="0.25">
      <c r="B84" s="30"/>
      <c r="C84" s="30"/>
      <c r="D84" s="30"/>
      <c r="E84" s="30"/>
    </row>
    <row r="85" spans="1:5" x14ac:dyDescent="0.25">
      <c r="B85" s="30"/>
      <c r="C85" s="30"/>
      <c r="D85" s="30"/>
      <c r="E85" s="30"/>
    </row>
    <row r="86" spans="1:5" x14ac:dyDescent="0.25">
      <c r="B86" s="25"/>
      <c r="C86" s="25"/>
      <c r="D86" s="25"/>
      <c r="E86" s="25"/>
    </row>
    <row r="87" spans="1:5" x14ac:dyDescent="0.25">
      <c r="A87" s="23">
        <f>IF(AND(Sheet3!B87=Sheet1!$Y$5,Sheet3!C87=Sheet1!$Y$6),1,0)</f>
        <v>1</v>
      </c>
      <c r="B87" s="25" t="s">
        <v>158</v>
      </c>
      <c r="C87" s="25">
        <v>0.5</v>
      </c>
      <c r="D87" s="39" t="s">
        <v>159</v>
      </c>
      <c r="E87" s="25"/>
    </row>
    <row r="88" spans="1:5" x14ac:dyDescent="0.25">
      <c r="B88" s="24" t="s">
        <v>28</v>
      </c>
      <c r="C88" s="24" t="s">
        <v>29</v>
      </c>
      <c r="D88" s="24" t="s">
        <v>30</v>
      </c>
      <c r="E88" s="24" t="s">
        <v>31</v>
      </c>
    </row>
    <row r="89" spans="1:5" x14ac:dyDescent="0.25">
      <c r="B89" s="30">
        <v>1</v>
      </c>
      <c r="C89" s="30" t="s">
        <v>149</v>
      </c>
      <c r="D89" s="30" t="s">
        <v>150</v>
      </c>
      <c r="E89" s="30">
        <v>1</v>
      </c>
    </row>
    <row r="90" spans="1:5" x14ac:dyDescent="0.25">
      <c r="B90" s="30">
        <v>2</v>
      </c>
      <c r="C90" s="30" t="s">
        <v>151</v>
      </c>
      <c r="D90" s="30" t="s">
        <v>397</v>
      </c>
      <c r="E90" s="30">
        <v>2</v>
      </c>
    </row>
    <row r="91" spans="1:5" x14ac:dyDescent="0.25">
      <c r="B91" s="30">
        <v>3</v>
      </c>
      <c r="C91" s="30" t="s">
        <v>142</v>
      </c>
      <c r="D91" s="30" t="s">
        <v>143</v>
      </c>
      <c r="E91" s="30">
        <v>2</v>
      </c>
    </row>
    <row r="92" spans="1:5" x14ac:dyDescent="0.25">
      <c r="B92" s="30">
        <v>4</v>
      </c>
      <c r="C92" s="30" t="s">
        <v>38</v>
      </c>
      <c r="D92" s="30" t="s">
        <v>39</v>
      </c>
      <c r="E92" s="30">
        <v>6</v>
      </c>
    </row>
    <row r="93" spans="1:5" x14ac:dyDescent="0.25">
      <c r="B93" s="30">
        <v>5</v>
      </c>
      <c r="C93" s="30" t="s">
        <v>40</v>
      </c>
      <c r="D93" s="30" t="s">
        <v>41</v>
      </c>
      <c r="E93" s="30">
        <v>6</v>
      </c>
    </row>
    <row r="94" spans="1:5" x14ac:dyDescent="0.25">
      <c r="B94" s="30">
        <v>6</v>
      </c>
      <c r="C94" s="30" t="s">
        <v>47</v>
      </c>
      <c r="D94" s="30" t="s">
        <v>48</v>
      </c>
      <c r="E94" s="30">
        <v>1</v>
      </c>
    </row>
    <row r="95" spans="1:5" x14ac:dyDescent="0.25">
      <c r="B95" s="30">
        <v>7</v>
      </c>
      <c r="C95" s="30" t="s">
        <v>49</v>
      </c>
      <c r="D95" s="30" t="s">
        <v>50</v>
      </c>
      <c r="E95" s="30">
        <v>1</v>
      </c>
    </row>
    <row r="96" spans="1:5" x14ac:dyDescent="0.25">
      <c r="B96" s="30">
        <v>8</v>
      </c>
      <c r="C96" s="30" t="s">
        <v>156</v>
      </c>
      <c r="D96" s="30" t="s">
        <v>157</v>
      </c>
      <c r="E96" s="30">
        <v>2</v>
      </c>
    </row>
    <row r="97" spans="1:5" x14ac:dyDescent="0.25">
      <c r="B97" s="30">
        <v>9</v>
      </c>
      <c r="C97" s="30" t="s">
        <v>56</v>
      </c>
      <c r="D97" s="30" t="s">
        <v>57</v>
      </c>
      <c r="E97" s="30">
        <v>7.0999999999999994E-2</v>
      </c>
    </row>
    <row r="98" spans="1:5" x14ac:dyDescent="0.25">
      <c r="B98" s="30"/>
      <c r="C98" s="30"/>
      <c r="D98" s="30"/>
      <c r="E98" s="30"/>
    </row>
    <row r="99" spans="1:5" x14ac:dyDescent="0.25">
      <c r="B99" s="30"/>
      <c r="C99" s="30"/>
      <c r="D99" s="30"/>
      <c r="E99" s="30"/>
    </row>
    <row r="100" spans="1:5" x14ac:dyDescent="0.25">
      <c r="B100" s="30"/>
      <c r="C100" s="30"/>
      <c r="D100" s="30"/>
      <c r="E100" s="30"/>
    </row>
    <row r="101" spans="1:5" x14ac:dyDescent="0.25">
      <c r="B101" s="30"/>
      <c r="C101" s="30"/>
      <c r="D101" s="30"/>
      <c r="E101" s="30"/>
    </row>
    <row r="102" spans="1:5" x14ac:dyDescent="0.25">
      <c r="B102" s="30"/>
      <c r="C102" s="30"/>
      <c r="D102" s="30"/>
      <c r="E102" s="30"/>
    </row>
    <row r="103" spans="1:5" x14ac:dyDescent="0.25">
      <c r="B103" s="25"/>
      <c r="C103" s="25"/>
      <c r="D103" s="25"/>
      <c r="E103" s="25"/>
    </row>
    <row r="104" spans="1:5" x14ac:dyDescent="0.25">
      <c r="A104" s="23">
        <f>IF(AND(Sheet3!B104=Sheet1!$Y$5,Sheet3!C104=Sheet1!$Y$6),1,0)</f>
        <v>0</v>
      </c>
      <c r="B104" s="25" t="s">
        <v>119</v>
      </c>
      <c r="C104" s="25">
        <v>0.75</v>
      </c>
      <c r="D104" s="39" t="s">
        <v>160</v>
      </c>
      <c r="E104" s="25"/>
    </row>
    <row r="105" spans="1:5" x14ac:dyDescent="0.25">
      <c r="B105" s="24" t="s">
        <v>28</v>
      </c>
      <c r="C105" s="24" t="s">
        <v>29</v>
      </c>
      <c r="D105" s="24" t="s">
        <v>30</v>
      </c>
      <c r="E105" s="24" t="s">
        <v>31</v>
      </c>
    </row>
    <row r="106" spans="1:5" x14ac:dyDescent="0.25">
      <c r="B106" s="30">
        <v>1</v>
      </c>
      <c r="C106" s="30" t="s">
        <v>127</v>
      </c>
      <c r="D106" s="30" t="s">
        <v>128</v>
      </c>
      <c r="E106" s="30">
        <v>1</v>
      </c>
    </row>
    <row r="107" spans="1:5" x14ac:dyDescent="0.25">
      <c r="B107" s="30">
        <v>2</v>
      </c>
      <c r="C107" s="30" t="s">
        <v>161</v>
      </c>
      <c r="D107" s="30" t="s">
        <v>162</v>
      </c>
      <c r="E107" s="30">
        <v>2</v>
      </c>
    </row>
    <row r="108" spans="1:5" x14ac:dyDescent="0.25">
      <c r="B108" s="30">
        <v>3</v>
      </c>
      <c r="C108" s="30" t="s">
        <v>153</v>
      </c>
      <c r="D108" s="30" t="s">
        <v>154</v>
      </c>
      <c r="E108" s="30">
        <v>1</v>
      </c>
    </row>
    <row r="109" spans="1:5" x14ac:dyDescent="0.25">
      <c r="B109" s="30">
        <v>4</v>
      </c>
      <c r="C109" s="30" t="s">
        <v>49</v>
      </c>
      <c r="D109" s="30" t="s">
        <v>50</v>
      </c>
      <c r="E109" s="30">
        <v>1</v>
      </c>
    </row>
    <row r="110" spans="1:5" x14ac:dyDescent="0.25">
      <c r="B110" s="30">
        <v>5</v>
      </c>
      <c r="C110" s="30" t="s">
        <v>163</v>
      </c>
      <c r="D110" s="30" t="s">
        <v>164</v>
      </c>
      <c r="E110" s="30">
        <v>2</v>
      </c>
    </row>
    <row r="111" spans="1:5" x14ac:dyDescent="0.25">
      <c r="B111" s="30">
        <v>6</v>
      </c>
      <c r="C111" s="30" t="s">
        <v>56</v>
      </c>
      <c r="D111" s="30" t="s">
        <v>57</v>
      </c>
      <c r="E111" s="30">
        <v>7.0999999999999994E-2</v>
      </c>
    </row>
    <row r="112" spans="1:5" x14ac:dyDescent="0.25">
      <c r="B112" s="30"/>
      <c r="C112" s="30"/>
      <c r="D112" s="30"/>
      <c r="E112" s="30"/>
    </row>
    <row r="113" spans="1:5" x14ac:dyDescent="0.25">
      <c r="B113" s="30"/>
      <c r="C113" s="30"/>
      <c r="D113" s="30"/>
      <c r="E113" s="30"/>
    </row>
    <row r="114" spans="1:5" x14ac:dyDescent="0.25">
      <c r="B114" s="30"/>
      <c r="C114" s="30"/>
      <c r="D114" s="30"/>
      <c r="E114" s="30"/>
    </row>
    <row r="115" spans="1:5" x14ac:dyDescent="0.25">
      <c r="B115" s="30"/>
      <c r="C115" s="30"/>
      <c r="D115" s="30"/>
      <c r="E115" s="30"/>
    </row>
    <row r="116" spans="1:5" x14ac:dyDescent="0.25">
      <c r="B116" s="30"/>
      <c r="C116" s="30"/>
      <c r="D116" s="30"/>
      <c r="E116" s="30"/>
    </row>
    <row r="117" spans="1:5" x14ac:dyDescent="0.25">
      <c r="B117" s="30"/>
      <c r="C117" s="30"/>
      <c r="D117" s="30"/>
      <c r="E117" s="30"/>
    </row>
    <row r="118" spans="1:5" x14ac:dyDescent="0.25">
      <c r="B118" s="30"/>
      <c r="C118" s="30"/>
      <c r="D118" s="30"/>
      <c r="E118" s="30"/>
    </row>
    <row r="119" spans="1:5" x14ac:dyDescent="0.25">
      <c r="B119" s="30"/>
      <c r="C119" s="30"/>
      <c r="D119" s="30"/>
      <c r="E119" s="30"/>
    </row>
    <row r="120" spans="1:5" x14ac:dyDescent="0.25">
      <c r="B120" s="25"/>
      <c r="C120" s="25"/>
      <c r="D120" s="25"/>
      <c r="E120" s="25"/>
    </row>
    <row r="121" spans="1:5" x14ac:dyDescent="0.25">
      <c r="A121" s="23">
        <f>IF(AND(Sheet3!B121=Sheet1!$Y$5,Sheet3!C121=Sheet1!$Y$6),1,0)</f>
        <v>0</v>
      </c>
      <c r="B121" s="25" t="s">
        <v>131</v>
      </c>
      <c r="C121" s="25">
        <v>0.75</v>
      </c>
      <c r="D121" s="39" t="s">
        <v>165</v>
      </c>
      <c r="E121" s="25"/>
    </row>
    <row r="122" spans="1:5" x14ac:dyDescent="0.25">
      <c r="B122" s="24" t="s">
        <v>28</v>
      </c>
      <c r="C122" s="24" t="s">
        <v>29</v>
      </c>
      <c r="D122" s="24" t="s">
        <v>30</v>
      </c>
      <c r="E122" s="24" t="s">
        <v>31</v>
      </c>
    </row>
    <row r="123" spans="1:5" x14ac:dyDescent="0.25">
      <c r="B123" s="30">
        <v>1</v>
      </c>
      <c r="C123" s="30" t="s">
        <v>166</v>
      </c>
      <c r="D123" s="30" t="s">
        <v>167</v>
      </c>
      <c r="E123" s="30">
        <v>1</v>
      </c>
    </row>
    <row r="124" spans="1:5" x14ac:dyDescent="0.25">
      <c r="B124" s="30">
        <v>2</v>
      </c>
      <c r="C124" s="30" t="s">
        <v>168</v>
      </c>
      <c r="D124" s="30" t="s">
        <v>169</v>
      </c>
      <c r="E124" s="30">
        <v>2</v>
      </c>
    </row>
    <row r="125" spans="1:5" x14ac:dyDescent="0.25">
      <c r="B125" s="30">
        <v>3</v>
      </c>
      <c r="C125" s="30" t="s">
        <v>161</v>
      </c>
      <c r="D125" s="30" t="s">
        <v>162</v>
      </c>
      <c r="E125" s="30">
        <v>2</v>
      </c>
    </row>
    <row r="126" spans="1:5" x14ac:dyDescent="0.25">
      <c r="B126" s="30">
        <v>4</v>
      </c>
      <c r="C126" s="30" t="s">
        <v>47</v>
      </c>
      <c r="D126" s="30" t="s">
        <v>48</v>
      </c>
      <c r="E126" s="30">
        <v>1</v>
      </c>
    </row>
    <row r="127" spans="1:5" x14ac:dyDescent="0.25">
      <c r="B127" s="30">
        <v>5</v>
      </c>
      <c r="C127" s="30" t="s">
        <v>49</v>
      </c>
      <c r="D127" s="30" t="s">
        <v>50</v>
      </c>
      <c r="E127" s="30">
        <v>1</v>
      </c>
    </row>
    <row r="128" spans="1:5" x14ac:dyDescent="0.25">
      <c r="B128" s="30">
        <v>6</v>
      </c>
      <c r="C128" s="30" t="s">
        <v>163</v>
      </c>
      <c r="D128" s="30" t="s">
        <v>164</v>
      </c>
      <c r="E128" s="30">
        <v>2</v>
      </c>
    </row>
    <row r="129" spans="1:5" x14ac:dyDescent="0.25">
      <c r="B129" s="30">
        <v>7</v>
      </c>
      <c r="C129" s="30" t="s">
        <v>56</v>
      </c>
      <c r="D129" s="30" t="s">
        <v>57</v>
      </c>
      <c r="E129" s="30">
        <v>7.0999999999999994E-2</v>
      </c>
    </row>
    <row r="130" spans="1:5" x14ac:dyDescent="0.25">
      <c r="B130" s="30"/>
      <c r="C130" s="30"/>
      <c r="D130" s="30"/>
      <c r="E130" s="30"/>
    </row>
    <row r="131" spans="1:5" x14ac:dyDescent="0.25">
      <c r="B131" s="30"/>
      <c r="C131" s="30"/>
      <c r="D131" s="30"/>
      <c r="E131" s="30"/>
    </row>
    <row r="132" spans="1:5" x14ac:dyDescent="0.25">
      <c r="B132" s="30"/>
      <c r="C132" s="30"/>
      <c r="D132" s="30"/>
      <c r="E132" s="30"/>
    </row>
    <row r="133" spans="1:5" x14ac:dyDescent="0.25">
      <c r="B133" s="30"/>
      <c r="C133" s="30"/>
      <c r="D133" s="30"/>
      <c r="E133" s="30"/>
    </row>
    <row r="134" spans="1:5" x14ac:dyDescent="0.25">
      <c r="B134" s="30"/>
      <c r="C134" s="30"/>
      <c r="D134" s="30"/>
      <c r="E134" s="30"/>
    </row>
    <row r="135" spans="1:5" x14ac:dyDescent="0.25">
      <c r="B135" s="30"/>
      <c r="C135" s="30"/>
      <c r="D135" s="30"/>
      <c r="E135" s="30"/>
    </row>
    <row r="136" spans="1:5" x14ac:dyDescent="0.25">
      <c r="B136" s="30"/>
      <c r="C136" s="30"/>
      <c r="D136" s="30"/>
      <c r="E136" s="30"/>
    </row>
    <row r="137" spans="1:5" x14ac:dyDescent="0.25">
      <c r="B137" s="25"/>
      <c r="C137" s="25"/>
      <c r="D137" s="25"/>
      <c r="E137" s="25"/>
    </row>
    <row r="138" spans="1:5" x14ac:dyDescent="0.25">
      <c r="A138" s="23">
        <f>IF(AND(Sheet3!B138=Sheet1!$Y$5,Sheet3!C138=Sheet1!$Y$6),1,0)</f>
        <v>0</v>
      </c>
      <c r="B138" s="25" t="s">
        <v>13</v>
      </c>
      <c r="C138" s="25">
        <v>0.75</v>
      </c>
      <c r="D138" s="39" t="s">
        <v>170</v>
      </c>
      <c r="E138" s="25"/>
    </row>
    <row r="139" spans="1:5" x14ac:dyDescent="0.25">
      <c r="B139" s="24" t="s">
        <v>28</v>
      </c>
      <c r="C139" s="24" t="s">
        <v>29</v>
      </c>
      <c r="D139" s="24" t="s">
        <v>30</v>
      </c>
      <c r="E139" s="24" t="s">
        <v>31</v>
      </c>
    </row>
    <row r="140" spans="1:5" x14ac:dyDescent="0.25">
      <c r="B140" s="30">
        <v>1</v>
      </c>
      <c r="C140" s="30" t="s">
        <v>127</v>
      </c>
      <c r="D140" s="30" t="s">
        <v>128</v>
      </c>
      <c r="E140" s="30">
        <v>1</v>
      </c>
    </row>
    <row r="141" spans="1:5" x14ac:dyDescent="0.25">
      <c r="B141" s="30">
        <v>2</v>
      </c>
      <c r="C141" s="30" t="s">
        <v>161</v>
      </c>
      <c r="D141" s="30" t="s">
        <v>162</v>
      </c>
      <c r="E141" s="30">
        <v>2</v>
      </c>
    </row>
    <row r="142" spans="1:5" x14ac:dyDescent="0.25">
      <c r="B142" s="30">
        <v>3</v>
      </c>
      <c r="C142" s="30" t="s">
        <v>171</v>
      </c>
      <c r="D142" s="30" t="s">
        <v>172</v>
      </c>
      <c r="E142" s="30">
        <v>6</v>
      </c>
    </row>
    <row r="143" spans="1:5" x14ac:dyDescent="0.25">
      <c r="B143" s="30">
        <v>4</v>
      </c>
      <c r="C143" s="30" t="s">
        <v>173</v>
      </c>
      <c r="D143" s="30" t="s">
        <v>174</v>
      </c>
      <c r="E143" s="30">
        <v>6</v>
      </c>
    </row>
    <row r="144" spans="1:5" x14ac:dyDescent="0.25">
      <c r="B144" s="30">
        <v>5</v>
      </c>
      <c r="C144" s="30" t="s">
        <v>47</v>
      </c>
      <c r="D144" s="30" t="s">
        <v>48</v>
      </c>
      <c r="E144" s="30">
        <v>1</v>
      </c>
    </row>
    <row r="145" spans="1:5" x14ac:dyDescent="0.25">
      <c r="B145" s="30">
        <v>6</v>
      </c>
      <c r="C145" s="30" t="s">
        <v>175</v>
      </c>
      <c r="D145" s="30" t="s">
        <v>176</v>
      </c>
      <c r="E145" s="30">
        <v>1</v>
      </c>
    </row>
    <row r="146" spans="1:5" x14ac:dyDescent="0.25">
      <c r="B146" s="30">
        <v>7</v>
      </c>
      <c r="C146" s="30" t="s">
        <v>177</v>
      </c>
      <c r="D146" s="30" t="s">
        <v>178</v>
      </c>
      <c r="E146" s="30">
        <v>2</v>
      </c>
    </row>
    <row r="147" spans="1:5" x14ac:dyDescent="0.25">
      <c r="B147" s="30">
        <v>8</v>
      </c>
      <c r="C147" s="30" t="s">
        <v>56</v>
      </c>
      <c r="D147" s="30" t="s">
        <v>57</v>
      </c>
      <c r="E147" s="30">
        <v>7.0999999999999994E-2</v>
      </c>
    </row>
    <row r="148" spans="1:5" x14ac:dyDescent="0.25">
      <c r="B148" s="30"/>
      <c r="C148" s="30"/>
      <c r="D148" s="30"/>
      <c r="E148" s="30"/>
    </row>
    <row r="149" spans="1:5" x14ac:dyDescent="0.25">
      <c r="B149" s="30"/>
      <c r="C149" s="30"/>
      <c r="D149" s="30"/>
      <c r="E149" s="30"/>
    </row>
    <row r="150" spans="1:5" x14ac:dyDescent="0.25">
      <c r="B150" s="30"/>
      <c r="C150" s="30"/>
      <c r="D150" s="30"/>
      <c r="E150" s="30"/>
    </row>
    <row r="151" spans="1:5" x14ac:dyDescent="0.25">
      <c r="B151" s="30"/>
      <c r="C151" s="30"/>
      <c r="D151" s="30"/>
      <c r="E151" s="30"/>
    </row>
    <row r="152" spans="1:5" x14ac:dyDescent="0.25">
      <c r="B152" s="30"/>
      <c r="C152" s="30"/>
      <c r="D152" s="30"/>
      <c r="E152" s="30"/>
    </row>
    <row r="153" spans="1:5" x14ac:dyDescent="0.25">
      <c r="B153" s="30"/>
      <c r="C153" s="30"/>
      <c r="D153" s="30"/>
      <c r="E153" s="30"/>
    </row>
    <row r="154" spans="1:5" x14ac:dyDescent="0.25">
      <c r="B154" s="25"/>
      <c r="C154" s="25"/>
      <c r="D154" s="25"/>
      <c r="E154" s="25"/>
    </row>
    <row r="155" spans="1:5" x14ac:dyDescent="0.25">
      <c r="A155" s="23">
        <f>IF(AND(Sheet3!B155=Sheet1!$Y$5,Sheet3!C155=Sheet1!$Y$6),1,0)</f>
        <v>0</v>
      </c>
      <c r="B155" s="25" t="s">
        <v>158</v>
      </c>
      <c r="C155" s="25">
        <v>0.75</v>
      </c>
      <c r="D155" s="39" t="s">
        <v>179</v>
      </c>
      <c r="E155" s="25"/>
    </row>
    <row r="156" spans="1:5" x14ac:dyDescent="0.25">
      <c r="B156" s="24" t="s">
        <v>28</v>
      </c>
      <c r="C156" s="24" t="s">
        <v>29</v>
      </c>
      <c r="D156" s="24" t="s">
        <v>30</v>
      </c>
      <c r="E156" s="24" t="s">
        <v>31</v>
      </c>
    </row>
    <row r="157" spans="1:5" x14ac:dyDescent="0.25">
      <c r="B157" s="30">
        <v>1</v>
      </c>
      <c r="C157" s="30" t="s">
        <v>166</v>
      </c>
      <c r="D157" s="30" t="s">
        <v>167</v>
      </c>
      <c r="E157" s="30">
        <v>1</v>
      </c>
    </row>
    <row r="158" spans="1:5" x14ac:dyDescent="0.25">
      <c r="B158" s="30">
        <v>2</v>
      </c>
      <c r="C158" s="30" t="s">
        <v>168</v>
      </c>
      <c r="D158" s="30" t="s">
        <v>169</v>
      </c>
      <c r="E158" s="30">
        <v>2</v>
      </c>
    </row>
    <row r="159" spans="1:5" x14ac:dyDescent="0.25">
      <c r="B159" s="30">
        <v>3</v>
      </c>
      <c r="C159" s="30" t="s">
        <v>161</v>
      </c>
      <c r="D159" s="30" t="s">
        <v>162</v>
      </c>
      <c r="E159" s="30">
        <v>2</v>
      </c>
    </row>
    <row r="160" spans="1:5" x14ac:dyDescent="0.25">
      <c r="B160" s="30">
        <v>4</v>
      </c>
      <c r="C160" s="30" t="s">
        <v>171</v>
      </c>
      <c r="D160" s="30" t="s">
        <v>172</v>
      </c>
      <c r="E160" s="30">
        <v>6</v>
      </c>
    </row>
    <row r="161" spans="1:5" x14ac:dyDescent="0.25">
      <c r="B161" s="30">
        <v>5</v>
      </c>
      <c r="C161" s="30" t="s">
        <v>173</v>
      </c>
      <c r="D161" s="30" t="s">
        <v>174</v>
      </c>
      <c r="E161" s="30">
        <v>6</v>
      </c>
    </row>
    <row r="162" spans="1:5" x14ac:dyDescent="0.25">
      <c r="B162" s="30">
        <v>6</v>
      </c>
      <c r="C162" s="30" t="s">
        <v>47</v>
      </c>
      <c r="D162" s="30" t="s">
        <v>48</v>
      </c>
      <c r="E162" s="30">
        <v>1</v>
      </c>
    </row>
    <row r="163" spans="1:5" x14ac:dyDescent="0.25">
      <c r="B163" s="30">
        <v>7</v>
      </c>
      <c r="C163" s="30" t="s">
        <v>175</v>
      </c>
      <c r="D163" s="30" t="s">
        <v>176</v>
      </c>
      <c r="E163" s="30">
        <v>1</v>
      </c>
    </row>
    <row r="164" spans="1:5" x14ac:dyDescent="0.25">
      <c r="B164" s="30">
        <v>8</v>
      </c>
      <c r="C164" s="30" t="s">
        <v>177</v>
      </c>
      <c r="D164" s="30" t="s">
        <v>178</v>
      </c>
      <c r="E164" s="30">
        <v>2</v>
      </c>
    </row>
    <row r="165" spans="1:5" x14ac:dyDescent="0.25">
      <c r="B165" s="30">
        <v>9</v>
      </c>
      <c r="C165" s="30" t="s">
        <v>56</v>
      </c>
      <c r="D165" s="30" t="s">
        <v>57</v>
      </c>
      <c r="E165" s="30">
        <v>7.0999999999999994E-2</v>
      </c>
    </row>
    <row r="166" spans="1:5" x14ac:dyDescent="0.25">
      <c r="B166" s="30"/>
      <c r="C166" s="30"/>
      <c r="D166" s="30"/>
      <c r="E166" s="30"/>
    </row>
    <row r="167" spans="1:5" x14ac:dyDescent="0.25">
      <c r="B167" s="30"/>
      <c r="C167" s="30"/>
      <c r="D167" s="30"/>
      <c r="E167" s="30"/>
    </row>
    <row r="168" spans="1:5" x14ac:dyDescent="0.25">
      <c r="B168" s="30"/>
      <c r="C168" s="30"/>
      <c r="D168" s="30"/>
      <c r="E168" s="30"/>
    </row>
    <row r="169" spans="1:5" x14ac:dyDescent="0.25">
      <c r="B169" s="30"/>
      <c r="C169" s="30"/>
      <c r="D169" s="30"/>
      <c r="E169" s="30"/>
    </row>
    <row r="170" spans="1:5" x14ac:dyDescent="0.25">
      <c r="B170" s="30"/>
      <c r="C170" s="30"/>
      <c r="D170" s="30"/>
      <c r="E170" s="30"/>
    </row>
    <row r="171" spans="1:5" x14ac:dyDescent="0.25">
      <c r="B171" s="25"/>
      <c r="C171" s="25"/>
      <c r="D171" s="25"/>
      <c r="E171" s="25"/>
    </row>
    <row r="172" spans="1:5" x14ac:dyDescent="0.25">
      <c r="A172" s="23">
        <f>IF(AND(Sheet3!B172=Sheet1!$Y$5,Sheet3!C172=Sheet1!$Y$6),1,0)</f>
        <v>0</v>
      </c>
      <c r="B172" s="25" t="s">
        <v>119</v>
      </c>
      <c r="C172" s="25">
        <v>1</v>
      </c>
      <c r="D172" s="39" t="s">
        <v>180</v>
      </c>
      <c r="E172" s="25"/>
    </row>
    <row r="173" spans="1:5" x14ac:dyDescent="0.25">
      <c r="B173" s="24" t="s">
        <v>28</v>
      </c>
      <c r="C173" s="24" t="s">
        <v>29</v>
      </c>
      <c r="D173" s="24" t="s">
        <v>30</v>
      </c>
      <c r="E173" s="24" t="s">
        <v>31</v>
      </c>
    </row>
    <row r="174" spans="1:5" x14ac:dyDescent="0.25">
      <c r="B174" s="30">
        <v>1</v>
      </c>
      <c r="C174" s="30" t="s">
        <v>144</v>
      </c>
      <c r="D174" s="30" t="s">
        <v>145</v>
      </c>
      <c r="E174" s="30">
        <v>1</v>
      </c>
    </row>
    <row r="175" spans="1:5" x14ac:dyDescent="0.25">
      <c r="B175" s="30">
        <v>2</v>
      </c>
      <c r="C175" s="30" t="s">
        <v>181</v>
      </c>
      <c r="D175" s="30" t="s">
        <v>182</v>
      </c>
      <c r="E175" s="30">
        <v>2</v>
      </c>
    </row>
    <row r="176" spans="1:5" x14ac:dyDescent="0.25">
      <c r="B176" s="30">
        <v>3</v>
      </c>
      <c r="C176" s="30" t="s">
        <v>47</v>
      </c>
      <c r="D176" s="30" t="s">
        <v>48</v>
      </c>
      <c r="E176" s="30">
        <v>1</v>
      </c>
    </row>
    <row r="177" spans="1:5" x14ac:dyDescent="0.25">
      <c r="B177" s="30">
        <v>4</v>
      </c>
      <c r="C177" s="30" t="s">
        <v>183</v>
      </c>
      <c r="D177" s="30" t="s">
        <v>184</v>
      </c>
      <c r="E177" s="30">
        <v>1</v>
      </c>
    </row>
    <row r="178" spans="1:5" x14ac:dyDescent="0.25">
      <c r="B178" s="30">
        <v>5</v>
      </c>
      <c r="C178" s="30" t="s">
        <v>185</v>
      </c>
      <c r="D178" s="30" t="s">
        <v>186</v>
      </c>
      <c r="E178" s="30">
        <v>2</v>
      </c>
    </row>
    <row r="179" spans="1:5" x14ac:dyDescent="0.25">
      <c r="B179" s="30">
        <v>6</v>
      </c>
      <c r="C179" s="30" t="s">
        <v>56</v>
      </c>
      <c r="D179" s="30" t="s">
        <v>57</v>
      </c>
      <c r="E179" s="30">
        <v>7.0999999999999994E-2</v>
      </c>
    </row>
    <row r="180" spans="1:5" x14ac:dyDescent="0.25">
      <c r="B180" s="30"/>
      <c r="C180" s="30"/>
      <c r="D180" s="30"/>
      <c r="E180" s="30"/>
    </row>
    <row r="181" spans="1:5" x14ac:dyDescent="0.25">
      <c r="B181" s="30"/>
      <c r="C181" s="30"/>
      <c r="D181" s="30"/>
      <c r="E181" s="30"/>
    </row>
    <row r="182" spans="1:5" x14ac:dyDescent="0.25">
      <c r="B182" s="30"/>
      <c r="C182" s="30"/>
      <c r="D182" s="30"/>
      <c r="E182" s="30"/>
    </row>
    <row r="183" spans="1:5" x14ac:dyDescent="0.25">
      <c r="B183" s="30"/>
      <c r="C183" s="30"/>
      <c r="D183" s="30"/>
      <c r="E183" s="30"/>
    </row>
    <row r="184" spans="1:5" x14ac:dyDescent="0.25">
      <c r="B184" s="30"/>
      <c r="C184" s="30"/>
      <c r="D184" s="30"/>
      <c r="E184" s="30"/>
    </row>
    <row r="185" spans="1:5" x14ac:dyDescent="0.25">
      <c r="B185" s="30"/>
      <c r="C185" s="30"/>
      <c r="D185" s="30"/>
      <c r="E185" s="30"/>
    </row>
    <row r="186" spans="1:5" x14ac:dyDescent="0.25">
      <c r="B186" s="30"/>
      <c r="C186" s="30"/>
      <c r="D186" s="30"/>
      <c r="E186" s="30"/>
    </row>
    <row r="187" spans="1:5" x14ac:dyDescent="0.25">
      <c r="B187" s="30"/>
      <c r="C187" s="30"/>
      <c r="D187" s="30"/>
      <c r="E187" s="30"/>
    </row>
    <row r="188" spans="1:5" x14ac:dyDescent="0.25">
      <c r="B188" s="25"/>
      <c r="C188" s="25"/>
      <c r="D188" s="25"/>
      <c r="E188" s="25"/>
    </row>
    <row r="189" spans="1:5" x14ac:dyDescent="0.25">
      <c r="A189" s="23">
        <f>IF(AND(Sheet3!B189=Sheet1!$Y$5,Sheet3!C189=Sheet1!$Y$6),1,0)</f>
        <v>0</v>
      </c>
      <c r="B189" s="25" t="s">
        <v>131</v>
      </c>
      <c r="C189" s="25">
        <v>1</v>
      </c>
      <c r="D189" s="39" t="s">
        <v>187</v>
      </c>
      <c r="E189" s="25"/>
    </row>
    <row r="190" spans="1:5" x14ac:dyDescent="0.25">
      <c r="B190" s="24" t="s">
        <v>28</v>
      </c>
      <c r="C190" s="24" t="s">
        <v>29</v>
      </c>
      <c r="D190" s="24" t="s">
        <v>30</v>
      </c>
      <c r="E190" s="24" t="s">
        <v>31</v>
      </c>
    </row>
    <row r="191" spans="1:5" x14ac:dyDescent="0.25">
      <c r="B191" s="30">
        <v>1</v>
      </c>
      <c r="C191" s="30" t="s">
        <v>188</v>
      </c>
      <c r="D191" s="30" t="s">
        <v>189</v>
      </c>
      <c r="E191" s="30">
        <v>1</v>
      </c>
    </row>
    <row r="192" spans="1:5" x14ac:dyDescent="0.25">
      <c r="B192" s="30">
        <v>2</v>
      </c>
      <c r="C192" s="30" t="s">
        <v>190</v>
      </c>
      <c r="D192" s="30" t="s">
        <v>396</v>
      </c>
      <c r="E192" s="30">
        <v>2</v>
      </c>
    </row>
    <row r="193" spans="1:5" x14ac:dyDescent="0.25">
      <c r="B193" s="30">
        <v>3</v>
      </c>
      <c r="C193" s="30" t="s">
        <v>181</v>
      </c>
      <c r="D193" s="30" t="s">
        <v>182</v>
      </c>
      <c r="E193" s="30">
        <v>2</v>
      </c>
    </row>
    <row r="194" spans="1:5" x14ac:dyDescent="0.25">
      <c r="B194" s="30">
        <v>4</v>
      </c>
      <c r="C194" s="30" t="s">
        <v>47</v>
      </c>
      <c r="D194" s="30" t="s">
        <v>48</v>
      </c>
      <c r="E194" s="30">
        <v>1</v>
      </c>
    </row>
    <row r="195" spans="1:5" x14ac:dyDescent="0.25">
      <c r="B195" s="30">
        <v>5</v>
      </c>
      <c r="C195" s="30" t="s">
        <v>183</v>
      </c>
      <c r="D195" s="30" t="s">
        <v>184</v>
      </c>
      <c r="E195" s="30">
        <v>1</v>
      </c>
    </row>
    <row r="196" spans="1:5" x14ac:dyDescent="0.25">
      <c r="B196" s="30">
        <v>6</v>
      </c>
      <c r="C196" s="30" t="s">
        <v>185</v>
      </c>
      <c r="D196" s="30" t="s">
        <v>186</v>
      </c>
      <c r="E196" s="30">
        <v>2</v>
      </c>
    </row>
    <row r="197" spans="1:5" x14ac:dyDescent="0.25">
      <c r="B197" s="30">
        <v>7</v>
      </c>
      <c r="C197" s="30" t="s">
        <v>56</v>
      </c>
      <c r="D197" s="30" t="s">
        <v>57</v>
      </c>
      <c r="E197" s="30">
        <v>7.0999999999999994E-2</v>
      </c>
    </row>
    <row r="198" spans="1:5" x14ac:dyDescent="0.25">
      <c r="B198" s="30"/>
      <c r="C198" s="30"/>
      <c r="D198" s="30"/>
      <c r="E198" s="30"/>
    </row>
    <row r="199" spans="1:5" x14ac:dyDescent="0.25">
      <c r="B199" s="30"/>
      <c r="C199" s="30"/>
      <c r="D199" s="30"/>
      <c r="E199" s="30"/>
    </row>
    <row r="200" spans="1:5" x14ac:dyDescent="0.25">
      <c r="B200" s="30"/>
      <c r="C200" s="30"/>
      <c r="D200" s="30"/>
      <c r="E200" s="30"/>
    </row>
    <row r="201" spans="1:5" x14ac:dyDescent="0.25">
      <c r="B201" s="30"/>
      <c r="C201" s="30"/>
      <c r="D201" s="30"/>
      <c r="E201" s="30"/>
    </row>
    <row r="202" spans="1:5" x14ac:dyDescent="0.25">
      <c r="B202" s="30"/>
      <c r="C202" s="30"/>
      <c r="D202" s="30"/>
      <c r="E202" s="30"/>
    </row>
    <row r="203" spans="1:5" x14ac:dyDescent="0.25">
      <c r="B203" s="30"/>
      <c r="C203" s="30"/>
      <c r="D203" s="30"/>
      <c r="E203" s="30"/>
    </row>
    <row r="204" spans="1:5" x14ac:dyDescent="0.25">
      <c r="B204" s="30"/>
      <c r="C204" s="30"/>
      <c r="D204" s="30"/>
      <c r="E204" s="30"/>
    </row>
    <row r="205" spans="1:5" x14ac:dyDescent="0.25">
      <c r="B205" s="25"/>
      <c r="C205" s="25"/>
      <c r="D205" s="25"/>
      <c r="E205" s="25"/>
    </row>
    <row r="206" spans="1:5" x14ac:dyDescent="0.25">
      <c r="A206" s="23">
        <f>IF(AND(Sheet3!B206=Sheet1!$Y$5,Sheet3!C206=Sheet1!$Y$6),1,0)</f>
        <v>0</v>
      </c>
      <c r="B206" s="25" t="s">
        <v>13</v>
      </c>
      <c r="C206" s="25">
        <v>1</v>
      </c>
      <c r="D206" s="39" t="s">
        <v>192</v>
      </c>
      <c r="E206" s="25"/>
    </row>
    <row r="207" spans="1:5" x14ac:dyDescent="0.25">
      <c r="B207" s="24" t="s">
        <v>28</v>
      </c>
      <c r="C207" s="24" t="s">
        <v>29</v>
      </c>
      <c r="D207" s="24" t="s">
        <v>30</v>
      </c>
      <c r="E207" s="24" t="s">
        <v>31</v>
      </c>
    </row>
    <row r="208" spans="1:5" x14ac:dyDescent="0.25">
      <c r="B208" s="30">
        <v>1</v>
      </c>
      <c r="C208" s="30" t="s">
        <v>144</v>
      </c>
      <c r="D208" s="30" t="s">
        <v>145</v>
      </c>
      <c r="E208" s="30">
        <v>1</v>
      </c>
    </row>
    <row r="209" spans="1:5" x14ac:dyDescent="0.25">
      <c r="B209" s="30">
        <v>2</v>
      </c>
      <c r="C209" s="30" t="s">
        <v>181</v>
      </c>
      <c r="D209" s="30" t="s">
        <v>182</v>
      </c>
      <c r="E209" s="30">
        <v>2</v>
      </c>
    </row>
    <row r="210" spans="1:5" x14ac:dyDescent="0.25">
      <c r="B210" s="30">
        <v>3</v>
      </c>
      <c r="C210" s="30" t="s">
        <v>193</v>
      </c>
      <c r="D210" s="30" t="s">
        <v>194</v>
      </c>
      <c r="E210" s="30">
        <v>6</v>
      </c>
    </row>
    <row r="211" spans="1:5" x14ac:dyDescent="0.25">
      <c r="B211" s="30">
        <v>4</v>
      </c>
      <c r="C211" s="30" t="s">
        <v>195</v>
      </c>
      <c r="D211" s="30" t="s">
        <v>196</v>
      </c>
      <c r="E211" s="30">
        <v>6</v>
      </c>
    </row>
    <row r="212" spans="1:5" x14ac:dyDescent="0.25">
      <c r="B212" s="30">
        <v>5</v>
      </c>
      <c r="C212" s="30" t="s">
        <v>47</v>
      </c>
      <c r="D212" s="30" t="s">
        <v>48</v>
      </c>
      <c r="E212" s="30">
        <v>1</v>
      </c>
    </row>
    <row r="213" spans="1:5" x14ac:dyDescent="0.25">
      <c r="B213" s="30">
        <v>6</v>
      </c>
      <c r="C213" s="30" t="s">
        <v>175</v>
      </c>
      <c r="D213" s="30" t="s">
        <v>176</v>
      </c>
      <c r="E213" s="30">
        <v>1</v>
      </c>
    </row>
    <row r="214" spans="1:5" x14ac:dyDescent="0.25">
      <c r="B214" s="30">
        <v>7</v>
      </c>
      <c r="C214" s="30" t="s">
        <v>197</v>
      </c>
      <c r="D214" s="30" t="s">
        <v>198</v>
      </c>
      <c r="E214" s="30">
        <v>2</v>
      </c>
    </row>
    <row r="215" spans="1:5" x14ac:dyDescent="0.25">
      <c r="B215" s="30">
        <v>8</v>
      </c>
      <c r="C215" s="30" t="s">
        <v>56</v>
      </c>
      <c r="D215" s="30" t="s">
        <v>57</v>
      </c>
      <c r="E215" s="30">
        <v>7.0999999999999994E-2</v>
      </c>
    </row>
    <row r="216" spans="1:5" x14ac:dyDescent="0.25">
      <c r="B216" s="30"/>
      <c r="C216" s="30"/>
      <c r="D216" s="30"/>
      <c r="E216" s="30"/>
    </row>
    <row r="217" spans="1:5" x14ac:dyDescent="0.25">
      <c r="B217" s="30"/>
      <c r="C217" s="30"/>
      <c r="D217" s="30"/>
      <c r="E217" s="30"/>
    </row>
    <row r="218" spans="1:5" x14ac:dyDescent="0.25">
      <c r="B218" s="30"/>
      <c r="C218" s="30"/>
      <c r="D218" s="30"/>
      <c r="E218" s="30"/>
    </row>
    <row r="219" spans="1:5" x14ac:dyDescent="0.25">
      <c r="B219" s="30"/>
      <c r="C219" s="30"/>
      <c r="D219" s="30"/>
      <c r="E219" s="30"/>
    </row>
    <row r="220" spans="1:5" x14ac:dyDescent="0.25">
      <c r="B220" s="30"/>
      <c r="C220" s="30"/>
      <c r="D220" s="30"/>
      <c r="E220" s="30"/>
    </row>
    <row r="221" spans="1:5" x14ac:dyDescent="0.25">
      <c r="B221" s="30"/>
      <c r="C221" s="30"/>
      <c r="D221" s="30"/>
      <c r="E221" s="30"/>
    </row>
    <row r="222" spans="1:5" x14ac:dyDescent="0.25">
      <c r="B222" s="25"/>
      <c r="C222" s="25"/>
      <c r="D222" s="25"/>
      <c r="E222" s="25"/>
    </row>
    <row r="223" spans="1:5" x14ac:dyDescent="0.25">
      <c r="A223" s="23">
        <f>IF(AND(Sheet3!B223=Sheet1!$Y$5,Sheet3!C223=Sheet1!$Y$6),1,0)</f>
        <v>0</v>
      </c>
      <c r="B223" s="25" t="s">
        <v>158</v>
      </c>
      <c r="C223" s="25">
        <v>1</v>
      </c>
      <c r="D223" s="39" t="s">
        <v>199</v>
      </c>
      <c r="E223" s="25"/>
    </row>
    <row r="224" spans="1:5" x14ac:dyDescent="0.25">
      <c r="B224" s="24" t="s">
        <v>28</v>
      </c>
      <c r="C224" s="24" t="s">
        <v>29</v>
      </c>
      <c r="D224" s="24" t="s">
        <v>30</v>
      </c>
      <c r="E224" s="24" t="s">
        <v>31</v>
      </c>
    </row>
    <row r="225" spans="2:5" x14ac:dyDescent="0.25">
      <c r="B225" s="30">
        <v>1</v>
      </c>
      <c r="C225" s="30" t="s">
        <v>188</v>
      </c>
      <c r="D225" s="30" t="s">
        <v>189</v>
      </c>
      <c r="E225" s="30">
        <v>1</v>
      </c>
    </row>
    <row r="226" spans="2:5" x14ac:dyDescent="0.25">
      <c r="B226" s="30">
        <v>2</v>
      </c>
      <c r="C226" s="30" t="s">
        <v>190</v>
      </c>
      <c r="D226" s="30" t="s">
        <v>396</v>
      </c>
      <c r="E226" s="30">
        <v>2</v>
      </c>
    </row>
    <row r="227" spans="2:5" x14ac:dyDescent="0.25">
      <c r="B227" s="30">
        <v>3</v>
      </c>
      <c r="C227" s="30" t="s">
        <v>181</v>
      </c>
      <c r="D227" s="30" t="s">
        <v>182</v>
      </c>
      <c r="E227" s="30">
        <v>2</v>
      </c>
    </row>
    <row r="228" spans="2:5" x14ac:dyDescent="0.25">
      <c r="B228" s="30">
        <v>4</v>
      </c>
      <c r="C228" s="30" t="s">
        <v>193</v>
      </c>
      <c r="D228" s="30" t="s">
        <v>194</v>
      </c>
      <c r="E228" s="30">
        <v>6</v>
      </c>
    </row>
    <row r="229" spans="2:5" x14ac:dyDescent="0.25">
      <c r="B229" s="30">
        <v>5</v>
      </c>
      <c r="C229" s="30" t="s">
        <v>195</v>
      </c>
      <c r="D229" s="30" t="s">
        <v>196</v>
      </c>
      <c r="E229" s="30">
        <v>6</v>
      </c>
    </row>
    <row r="230" spans="2:5" x14ac:dyDescent="0.25">
      <c r="B230" s="30">
        <v>6</v>
      </c>
      <c r="C230" s="30" t="s">
        <v>47</v>
      </c>
      <c r="D230" s="30" t="s">
        <v>48</v>
      </c>
      <c r="E230" s="30">
        <v>1</v>
      </c>
    </row>
    <row r="231" spans="2:5" x14ac:dyDescent="0.25">
      <c r="B231" s="30">
        <v>7</v>
      </c>
      <c r="C231" s="30" t="s">
        <v>175</v>
      </c>
      <c r="D231" s="30" t="s">
        <v>176</v>
      </c>
      <c r="E231" s="30">
        <v>1</v>
      </c>
    </row>
    <row r="232" spans="2:5" x14ac:dyDescent="0.25">
      <c r="B232" s="30">
        <v>8</v>
      </c>
      <c r="C232" s="30" t="s">
        <v>197</v>
      </c>
      <c r="D232" s="30" t="s">
        <v>198</v>
      </c>
      <c r="E232" s="30">
        <v>2</v>
      </c>
    </row>
    <row r="233" spans="2:5" x14ac:dyDescent="0.25">
      <c r="B233" s="30">
        <v>9</v>
      </c>
      <c r="C233" s="30" t="s">
        <v>56</v>
      </c>
      <c r="D233" s="30" t="s">
        <v>57</v>
      </c>
      <c r="E233" s="30">
        <v>7.0999999999999994E-2</v>
      </c>
    </row>
    <row r="234" spans="2:5" x14ac:dyDescent="0.25">
      <c r="B234" s="30"/>
      <c r="C234" s="30"/>
      <c r="D234" s="30"/>
      <c r="E234" s="30"/>
    </row>
    <row r="235" spans="2:5" x14ac:dyDescent="0.25">
      <c r="B235" s="30"/>
      <c r="C235" s="30"/>
      <c r="D235" s="30"/>
      <c r="E235" s="30"/>
    </row>
    <row r="236" spans="2:5" x14ac:dyDescent="0.25">
      <c r="B236" s="30"/>
      <c r="C236" s="30"/>
      <c r="D236" s="30"/>
      <c r="E236" s="30"/>
    </row>
    <row r="237" spans="2:5" x14ac:dyDescent="0.25">
      <c r="B237" s="30"/>
      <c r="C237" s="30"/>
      <c r="D237" s="30"/>
      <c r="E237" s="30"/>
    </row>
    <row r="238" spans="2:5" x14ac:dyDescent="0.25">
      <c r="B238" s="30"/>
      <c r="C238" s="30"/>
      <c r="D238" s="30"/>
      <c r="E238" s="30"/>
    </row>
    <row r="239" spans="2:5" x14ac:dyDescent="0.25">
      <c r="B239" s="25"/>
      <c r="C239" s="25"/>
      <c r="D239" s="25"/>
      <c r="E239" s="25"/>
    </row>
    <row r="240" spans="2:5" x14ac:dyDescent="0.25">
      <c r="B240" s="25"/>
      <c r="C240" s="25"/>
      <c r="D240" s="25"/>
      <c r="E240" s="25"/>
    </row>
    <row r="241" spans="1:5" x14ac:dyDescent="0.25">
      <c r="A241" s="23">
        <f>IF(AND(Sheet3!B241=Sheet1!$Y$5,Sheet3!C241=Sheet1!$Y$6),1,0)</f>
        <v>0</v>
      </c>
      <c r="B241" s="25" t="s">
        <v>119</v>
      </c>
      <c r="C241" s="25">
        <v>0.375</v>
      </c>
      <c r="D241" s="39" t="s">
        <v>200</v>
      </c>
      <c r="E241" s="25"/>
    </row>
    <row r="242" spans="1:5" x14ac:dyDescent="0.25">
      <c r="B242" s="24" t="s">
        <v>28</v>
      </c>
      <c r="C242" s="24" t="s">
        <v>29</v>
      </c>
      <c r="D242" s="24" t="s">
        <v>30</v>
      </c>
      <c r="E242" s="24" t="s">
        <v>31</v>
      </c>
    </row>
    <row r="243" spans="1:5" x14ac:dyDescent="0.25">
      <c r="B243" s="30">
        <v>1</v>
      </c>
      <c r="C243" s="30" t="s">
        <v>33</v>
      </c>
      <c r="D243" s="30" t="s">
        <v>34</v>
      </c>
      <c r="E243" s="30">
        <v>1</v>
      </c>
    </row>
    <row r="244" spans="1:5" x14ac:dyDescent="0.25">
      <c r="B244" s="30">
        <v>2</v>
      </c>
      <c r="C244" s="30" t="s">
        <v>35</v>
      </c>
      <c r="D244" s="30" t="s">
        <v>36</v>
      </c>
      <c r="E244" s="30">
        <v>2</v>
      </c>
    </row>
    <row r="245" spans="1:5" x14ac:dyDescent="0.25">
      <c r="B245" s="30">
        <v>3</v>
      </c>
      <c r="C245" s="30" t="s">
        <v>137</v>
      </c>
      <c r="D245" s="30" t="s">
        <v>138</v>
      </c>
      <c r="E245" s="30">
        <v>1</v>
      </c>
    </row>
    <row r="246" spans="1:5" x14ac:dyDescent="0.25">
      <c r="B246" s="30">
        <v>4</v>
      </c>
      <c r="C246" s="30" t="s">
        <v>127</v>
      </c>
      <c r="D246" s="30" t="s">
        <v>128</v>
      </c>
      <c r="E246" s="30">
        <v>1</v>
      </c>
    </row>
    <row r="247" spans="1:5" x14ac:dyDescent="0.25">
      <c r="B247" s="30">
        <v>5</v>
      </c>
      <c r="C247" s="30" t="s">
        <v>201</v>
      </c>
      <c r="D247" s="30" t="s">
        <v>202</v>
      </c>
      <c r="E247" s="30">
        <v>2</v>
      </c>
    </row>
    <row r="248" spans="1:5" x14ac:dyDescent="0.25">
      <c r="B248" s="30">
        <v>6</v>
      </c>
      <c r="C248" s="30" t="s">
        <v>56</v>
      </c>
      <c r="D248" s="30" t="s">
        <v>57</v>
      </c>
      <c r="E248" s="30">
        <v>7.0999999999999994E-2</v>
      </c>
    </row>
    <row r="249" spans="1:5" x14ac:dyDescent="0.25">
      <c r="B249" s="30"/>
      <c r="C249" s="30"/>
      <c r="D249" s="30"/>
      <c r="E249" s="30"/>
    </row>
    <row r="250" spans="1:5" x14ac:dyDescent="0.25">
      <c r="B250" s="30"/>
      <c r="C250" s="30"/>
      <c r="D250" s="30"/>
      <c r="E250" s="30"/>
    </row>
    <row r="251" spans="1:5" x14ac:dyDescent="0.25">
      <c r="B251" s="30"/>
      <c r="C251" s="30"/>
      <c r="D251" s="30"/>
      <c r="E251" s="30"/>
    </row>
    <row r="252" spans="1:5" x14ac:dyDescent="0.25">
      <c r="B252" s="30"/>
      <c r="C252" s="30"/>
      <c r="D252" s="30"/>
      <c r="E252" s="30"/>
    </row>
    <row r="253" spans="1:5" x14ac:dyDescent="0.25">
      <c r="B253" s="30"/>
      <c r="C253" s="30"/>
      <c r="D253" s="30"/>
      <c r="E253" s="30"/>
    </row>
    <row r="254" spans="1:5" x14ac:dyDescent="0.25">
      <c r="B254" s="30"/>
      <c r="C254" s="30"/>
      <c r="D254" s="30"/>
      <c r="E254" s="30"/>
    </row>
    <row r="255" spans="1:5" x14ac:dyDescent="0.25">
      <c r="B255" s="30"/>
      <c r="C255" s="30"/>
      <c r="D255" s="30"/>
      <c r="E255" s="30"/>
    </row>
    <row r="256" spans="1:5" x14ac:dyDescent="0.25">
      <c r="B256" s="30"/>
      <c r="C256" s="30"/>
      <c r="D256" s="30"/>
      <c r="E256" s="30"/>
    </row>
    <row r="257" spans="1:5" x14ac:dyDescent="0.25">
      <c r="B257" s="25"/>
      <c r="C257" s="25"/>
      <c r="D257" s="25"/>
      <c r="E257" s="25"/>
    </row>
    <row r="258" spans="1:5" x14ac:dyDescent="0.25">
      <c r="A258" s="23">
        <f>IF(AND(Sheet3!B258=Sheet1!$Y$5,Sheet3!C258=Sheet1!$Y$6),1,0)</f>
        <v>0</v>
      </c>
      <c r="B258" s="25" t="s">
        <v>131</v>
      </c>
      <c r="C258" s="25">
        <v>0.375</v>
      </c>
      <c r="D258" s="39" t="s">
        <v>203</v>
      </c>
      <c r="E258" s="25"/>
    </row>
    <row r="259" spans="1:5" x14ac:dyDescent="0.25">
      <c r="B259" s="24" t="s">
        <v>28</v>
      </c>
      <c r="C259" s="24" t="s">
        <v>29</v>
      </c>
      <c r="D259" s="24" t="s">
        <v>30</v>
      </c>
      <c r="E259" s="24" t="s">
        <v>31</v>
      </c>
    </row>
    <row r="260" spans="1:5" x14ac:dyDescent="0.25">
      <c r="B260" s="30">
        <v>1</v>
      </c>
      <c r="C260" s="30" t="s">
        <v>204</v>
      </c>
      <c r="D260" s="30" t="s">
        <v>205</v>
      </c>
      <c r="E260" s="30">
        <v>1</v>
      </c>
    </row>
    <row r="261" spans="1:5" x14ac:dyDescent="0.25">
      <c r="B261" s="30">
        <v>2</v>
      </c>
      <c r="C261" s="30" t="s">
        <v>206</v>
      </c>
      <c r="D261" s="30" t="s">
        <v>395</v>
      </c>
      <c r="E261" s="30">
        <v>2</v>
      </c>
    </row>
    <row r="262" spans="1:5" x14ac:dyDescent="0.25">
      <c r="B262" s="30">
        <v>3</v>
      </c>
      <c r="C262" s="30" t="s">
        <v>35</v>
      </c>
      <c r="D262" s="30" t="s">
        <v>36</v>
      </c>
      <c r="E262" s="30">
        <v>2</v>
      </c>
    </row>
    <row r="263" spans="1:5" x14ac:dyDescent="0.25">
      <c r="B263" s="30">
        <v>4</v>
      </c>
      <c r="C263" s="30" t="s">
        <v>153</v>
      </c>
      <c r="D263" s="30" t="s">
        <v>154</v>
      </c>
      <c r="E263" s="30">
        <v>1</v>
      </c>
    </row>
    <row r="264" spans="1:5" x14ac:dyDescent="0.25">
      <c r="B264" s="30">
        <v>5</v>
      </c>
      <c r="C264" s="30" t="s">
        <v>127</v>
      </c>
      <c r="D264" s="30" t="s">
        <v>128</v>
      </c>
      <c r="E264" s="30">
        <v>1</v>
      </c>
    </row>
    <row r="265" spans="1:5" x14ac:dyDescent="0.25">
      <c r="B265" s="30">
        <v>6</v>
      </c>
      <c r="C265" s="30" t="s">
        <v>201</v>
      </c>
      <c r="D265" s="30" t="s">
        <v>202</v>
      </c>
      <c r="E265" s="30">
        <v>2</v>
      </c>
    </row>
    <row r="266" spans="1:5" x14ac:dyDescent="0.25">
      <c r="B266" s="30">
        <v>7</v>
      </c>
      <c r="C266" s="30" t="s">
        <v>56</v>
      </c>
      <c r="D266" s="30" t="s">
        <v>57</v>
      </c>
      <c r="E266" s="30">
        <v>7.0999999999999994E-2</v>
      </c>
    </row>
    <row r="267" spans="1:5" x14ac:dyDescent="0.25">
      <c r="B267" s="30"/>
      <c r="C267" s="30"/>
      <c r="D267" s="30"/>
      <c r="E267" s="30"/>
    </row>
    <row r="268" spans="1:5" x14ac:dyDescent="0.25">
      <c r="B268" s="30"/>
      <c r="C268" s="30"/>
      <c r="D268" s="30"/>
      <c r="E268" s="30"/>
    </row>
    <row r="269" spans="1:5" x14ac:dyDescent="0.25">
      <c r="B269" s="30"/>
      <c r="C269" s="30"/>
      <c r="D269" s="30"/>
      <c r="E269" s="30"/>
    </row>
    <row r="270" spans="1:5" x14ac:dyDescent="0.25">
      <c r="B270" s="30"/>
      <c r="C270" s="30"/>
      <c r="D270" s="30"/>
      <c r="E270" s="30"/>
    </row>
    <row r="271" spans="1:5" x14ac:dyDescent="0.25">
      <c r="B271" s="30"/>
      <c r="C271" s="30"/>
      <c r="D271" s="30"/>
      <c r="E271" s="30"/>
    </row>
    <row r="272" spans="1:5" x14ac:dyDescent="0.25">
      <c r="B272" s="30"/>
      <c r="C272" s="30"/>
      <c r="D272" s="30"/>
      <c r="E272" s="30"/>
    </row>
    <row r="273" spans="1:5" x14ac:dyDescent="0.25">
      <c r="B273" s="30"/>
      <c r="C273" s="30"/>
      <c r="D273" s="30"/>
      <c r="E273" s="30"/>
    </row>
    <row r="274" spans="1:5" x14ac:dyDescent="0.25">
      <c r="B274" s="25"/>
      <c r="C274" s="25"/>
      <c r="D274" s="25"/>
      <c r="E274" s="25"/>
    </row>
    <row r="275" spans="1:5" x14ac:dyDescent="0.25">
      <c r="A275" s="23">
        <f>IF(AND(Sheet3!B275=Sheet1!$Y$5,Sheet3!C275=Sheet1!$Y$6),1,0)</f>
        <v>0</v>
      </c>
      <c r="B275" s="25" t="s">
        <v>13</v>
      </c>
      <c r="C275" s="25">
        <v>0.375</v>
      </c>
      <c r="D275" s="39" t="s">
        <v>24</v>
      </c>
      <c r="E275" s="25"/>
    </row>
    <row r="276" spans="1:5" x14ac:dyDescent="0.25">
      <c r="B276" s="24" t="s">
        <v>28</v>
      </c>
      <c r="C276" s="24" t="s">
        <v>29</v>
      </c>
      <c r="D276" s="24" t="s">
        <v>30</v>
      </c>
      <c r="E276" s="24" t="s">
        <v>31</v>
      </c>
    </row>
    <row r="277" spans="1:5" x14ac:dyDescent="0.25">
      <c r="B277" s="30">
        <v>1</v>
      </c>
      <c r="C277" s="30" t="s">
        <v>33</v>
      </c>
      <c r="D277" s="30" t="s">
        <v>34</v>
      </c>
      <c r="E277" s="30">
        <v>1</v>
      </c>
    </row>
    <row r="278" spans="1:5" x14ac:dyDescent="0.25">
      <c r="B278" s="30">
        <v>2</v>
      </c>
      <c r="C278" s="30" t="s">
        <v>35</v>
      </c>
      <c r="D278" s="30" t="s">
        <v>36</v>
      </c>
      <c r="E278" s="30">
        <v>2</v>
      </c>
    </row>
    <row r="279" spans="1:5" x14ac:dyDescent="0.25">
      <c r="B279" s="30">
        <v>3</v>
      </c>
      <c r="C279" s="30" t="s">
        <v>38</v>
      </c>
      <c r="D279" s="30" t="s">
        <v>39</v>
      </c>
      <c r="E279" s="30">
        <v>6</v>
      </c>
    </row>
    <row r="280" spans="1:5" x14ac:dyDescent="0.25">
      <c r="B280" s="30">
        <v>4</v>
      </c>
      <c r="C280" s="30" t="s">
        <v>40</v>
      </c>
      <c r="D280" s="30" t="s">
        <v>41</v>
      </c>
      <c r="E280" s="30">
        <v>6</v>
      </c>
    </row>
    <row r="281" spans="1:5" x14ac:dyDescent="0.25">
      <c r="B281" s="30">
        <v>5</v>
      </c>
      <c r="C281" s="30" t="s">
        <v>153</v>
      </c>
      <c r="D281" s="30" t="s">
        <v>154</v>
      </c>
      <c r="E281" s="30">
        <v>1</v>
      </c>
    </row>
    <row r="282" spans="1:5" x14ac:dyDescent="0.25">
      <c r="B282" s="30">
        <v>6</v>
      </c>
      <c r="C282" s="30" t="s">
        <v>49</v>
      </c>
      <c r="D282" s="30" t="s">
        <v>50</v>
      </c>
      <c r="E282" s="30">
        <v>1</v>
      </c>
    </row>
    <row r="283" spans="1:5" x14ac:dyDescent="0.25">
      <c r="B283" s="30">
        <v>7</v>
      </c>
      <c r="C283" s="30" t="s">
        <v>51</v>
      </c>
      <c r="D283" s="30" t="s">
        <v>52</v>
      </c>
      <c r="E283" s="30">
        <v>2</v>
      </c>
    </row>
    <row r="284" spans="1:5" x14ac:dyDescent="0.25">
      <c r="B284" s="30">
        <v>8</v>
      </c>
      <c r="C284" s="30" t="s">
        <v>56</v>
      </c>
      <c r="D284" s="30" t="s">
        <v>57</v>
      </c>
      <c r="E284" s="30">
        <v>7.0999999999999994E-2</v>
      </c>
    </row>
    <row r="285" spans="1:5" x14ac:dyDescent="0.25">
      <c r="B285" s="30"/>
      <c r="C285" s="30"/>
      <c r="D285" s="30"/>
      <c r="E285" s="30"/>
    </row>
    <row r="286" spans="1:5" x14ac:dyDescent="0.25">
      <c r="B286" s="30"/>
      <c r="C286" s="30"/>
      <c r="D286" s="30"/>
      <c r="E286" s="30"/>
    </row>
    <row r="287" spans="1:5" x14ac:dyDescent="0.25">
      <c r="B287" s="30"/>
      <c r="C287" s="30"/>
      <c r="D287" s="30"/>
      <c r="E287" s="30"/>
    </row>
    <row r="288" spans="1:5" x14ac:dyDescent="0.25">
      <c r="B288" s="30"/>
      <c r="C288" s="30"/>
      <c r="D288" s="30"/>
      <c r="E288" s="30"/>
    </row>
    <row r="289" spans="1:5" x14ac:dyDescent="0.25">
      <c r="B289" s="30"/>
      <c r="C289" s="30"/>
      <c r="D289" s="30"/>
      <c r="E289" s="30"/>
    </row>
    <row r="290" spans="1:5" x14ac:dyDescent="0.25">
      <c r="B290" s="30"/>
      <c r="C290" s="30"/>
      <c r="D290" s="30"/>
      <c r="E290" s="30"/>
    </row>
    <row r="291" spans="1:5" x14ac:dyDescent="0.25">
      <c r="B291" s="25"/>
      <c r="C291" s="25"/>
      <c r="D291" s="25"/>
      <c r="E291" s="25"/>
    </row>
    <row r="292" spans="1:5" x14ac:dyDescent="0.25">
      <c r="A292" s="23">
        <f>IF(AND(Sheet3!B292=Sheet1!$Y$5,Sheet3!C292=Sheet1!$Y$6),1,0)</f>
        <v>0</v>
      </c>
      <c r="B292" s="25" t="s">
        <v>158</v>
      </c>
      <c r="C292" s="25">
        <v>0.375</v>
      </c>
      <c r="D292" s="39" t="s">
        <v>208</v>
      </c>
      <c r="E292" s="25"/>
    </row>
    <row r="293" spans="1:5" x14ac:dyDescent="0.25">
      <c r="B293" s="24" t="s">
        <v>28</v>
      </c>
      <c r="C293" s="24" t="s">
        <v>29</v>
      </c>
      <c r="D293" s="24" t="s">
        <v>30</v>
      </c>
      <c r="E293" s="24" t="s">
        <v>31</v>
      </c>
    </row>
    <row r="294" spans="1:5" x14ac:dyDescent="0.25">
      <c r="B294" s="30">
        <v>1</v>
      </c>
      <c r="C294" s="30" t="s">
        <v>204</v>
      </c>
      <c r="D294" s="30" t="s">
        <v>205</v>
      </c>
      <c r="E294" s="30">
        <v>1</v>
      </c>
    </row>
    <row r="295" spans="1:5" x14ac:dyDescent="0.25">
      <c r="B295" s="30">
        <v>2</v>
      </c>
      <c r="C295" s="30" t="s">
        <v>206</v>
      </c>
      <c r="D295" s="30" t="s">
        <v>395</v>
      </c>
      <c r="E295" s="30">
        <v>2</v>
      </c>
    </row>
    <row r="296" spans="1:5" x14ac:dyDescent="0.25">
      <c r="B296" s="30">
        <v>3</v>
      </c>
      <c r="C296" s="30" t="s">
        <v>35</v>
      </c>
      <c r="D296" s="30" t="s">
        <v>36</v>
      </c>
      <c r="E296" s="30">
        <v>2</v>
      </c>
    </row>
    <row r="297" spans="1:5" x14ac:dyDescent="0.25">
      <c r="B297" s="30">
        <v>4</v>
      </c>
      <c r="C297" s="30" t="s">
        <v>38</v>
      </c>
      <c r="D297" s="30" t="s">
        <v>39</v>
      </c>
      <c r="E297" s="30">
        <v>6</v>
      </c>
    </row>
    <row r="298" spans="1:5" x14ac:dyDescent="0.25">
      <c r="B298" s="30">
        <v>5</v>
      </c>
      <c r="C298" s="30" t="s">
        <v>40</v>
      </c>
      <c r="D298" s="30" t="s">
        <v>41</v>
      </c>
      <c r="E298" s="30">
        <v>6</v>
      </c>
    </row>
    <row r="299" spans="1:5" x14ac:dyDescent="0.25">
      <c r="B299" s="30">
        <v>6</v>
      </c>
      <c r="C299" s="30" t="s">
        <v>153</v>
      </c>
      <c r="D299" s="30" t="s">
        <v>154</v>
      </c>
      <c r="E299" s="30">
        <v>1</v>
      </c>
    </row>
    <row r="300" spans="1:5" x14ac:dyDescent="0.25">
      <c r="B300" s="30">
        <v>7</v>
      </c>
      <c r="C300" s="30" t="s">
        <v>49</v>
      </c>
      <c r="D300" s="30" t="s">
        <v>50</v>
      </c>
      <c r="E300" s="30">
        <v>1</v>
      </c>
    </row>
    <row r="301" spans="1:5" x14ac:dyDescent="0.25">
      <c r="B301" s="30">
        <v>8</v>
      </c>
      <c r="C301" s="30" t="s">
        <v>51</v>
      </c>
      <c r="D301" s="30" t="s">
        <v>52</v>
      </c>
      <c r="E301" s="30">
        <v>2</v>
      </c>
    </row>
    <row r="302" spans="1:5" x14ac:dyDescent="0.25">
      <c r="B302" s="30">
        <v>9</v>
      </c>
      <c r="C302" s="30" t="s">
        <v>56</v>
      </c>
      <c r="D302" s="30" t="s">
        <v>57</v>
      </c>
      <c r="E302" s="30">
        <v>7.0999999999999994E-2</v>
      </c>
    </row>
    <row r="303" spans="1:5" x14ac:dyDescent="0.25">
      <c r="B303" s="30"/>
      <c r="C303" s="30"/>
      <c r="D303" s="30"/>
      <c r="E303" s="30"/>
    </row>
    <row r="304" spans="1:5" x14ac:dyDescent="0.25">
      <c r="B304" s="30"/>
      <c r="C304" s="30"/>
      <c r="D304" s="30"/>
      <c r="E304" s="30"/>
    </row>
    <row r="305" spans="1:5" x14ac:dyDescent="0.25">
      <c r="B305" s="30"/>
      <c r="C305" s="30"/>
      <c r="D305" s="30"/>
      <c r="E305" s="30"/>
    </row>
    <row r="306" spans="1:5" x14ac:dyDescent="0.25">
      <c r="B306" s="30"/>
      <c r="C306" s="30"/>
      <c r="D306" s="30"/>
      <c r="E306" s="30"/>
    </row>
    <row r="307" spans="1:5" x14ac:dyDescent="0.25">
      <c r="B307" s="30"/>
      <c r="C307" s="30"/>
      <c r="D307" s="30"/>
      <c r="E307" s="30"/>
    </row>
    <row r="308" spans="1:5" x14ac:dyDescent="0.25">
      <c r="B308" s="25"/>
      <c r="C308" s="25"/>
      <c r="D308" s="25"/>
      <c r="E308" s="25"/>
    </row>
    <row r="309" spans="1:5" x14ac:dyDescent="0.25">
      <c r="A309" s="23">
        <f>IF(AND(Sheet3!B309=Sheet1!$Y$5,Sheet3!C309=Sheet1!$Y$6),1,0)</f>
        <v>0</v>
      </c>
      <c r="B309" s="25" t="s">
        <v>13</v>
      </c>
      <c r="C309" s="25">
        <v>0.25</v>
      </c>
      <c r="D309" s="39" t="s">
        <v>209</v>
      </c>
      <c r="E309" s="25"/>
    </row>
    <row r="310" spans="1:5" x14ac:dyDescent="0.25">
      <c r="B310" s="24" t="s">
        <v>28</v>
      </c>
      <c r="C310" s="24" t="s">
        <v>29</v>
      </c>
      <c r="D310" s="24" t="s">
        <v>30</v>
      </c>
      <c r="E310" s="24" t="s">
        <v>31</v>
      </c>
    </row>
    <row r="311" spans="1:5" x14ac:dyDescent="0.25">
      <c r="B311" s="30">
        <v>1</v>
      </c>
      <c r="C311" s="30" t="s">
        <v>121</v>
      </c>
      <c r="D311" s="30" t="s">
        <v>122</v>
      </c>
      <c r="E311" s="30">
        <v>1</v>
      </c>
    </row>
    <row r="312" spans="1:5" x14ac:dyDescent="0.25">
      <c r="B312" s="30">
        <v>2</v>
      </c>
      <c r="C312" s="30" t="s">
        <v>123</v>
      </c>
      <c r="D312" s="30" t="s">
        <v>124</v>
      </c>
      <c r="E312" s="30">
        <v>2</v>
      </c>
    </row>
    <row r="313" spans="1:5" x14ac:dyDescent="0.25">
      <c r="B313" s="30">
        <v>3</v>
      </c>
      <c r="C313" s="30" t="s">
        <v>38</v>
      </c>
      <c r="D313" s="30" t="s">
        <v>39</v>
      </c>
      <c r="E313" s="30">
        <v>6</v>
      </c>
    </row>
    <row r="314" spans="1:5" x14ac:dyDescent="0.25">
      <c r="B314" s="30">
        <v>4</v>
      </c>
      <c r="C314" s="30" t="s">
        <v>40</v>
      </c>
      <c r="D314" s="30" t="s">
        <v>41</v>
      </c>
      <c r="E314" s="30">
        <v>6</v>
      </c>
    </row>
    <row r="315" spans="1:5" x14ac:dyDescent="0.25">
      <c r="B315" s="30">
        <v>5</v>
      </c>
      <c r="C315" s="30" t="s">
        <v>153</v>
      </c>
      <c r="D315" s="30" t="s">
        <v>154</v>
      </c>
      <c r="E315" s="30">
        <v>1</v>
      </c>
    </row>
    <row r="316" spans="1:5" x14ac:dyDescent="0.25">
      <c r="B316" s="30">
        <v>6</v>
      </c>
      <c r="C316" s="30" t="s">
        <v>144</v>
      </c>
      <c r="D316" s="30" t="s">
        <v>145</v>
      </c>
      <c r="E316" s="30">
        <v>1</v>
      </c>
    </row>
    <row r="317" spans="1:5" x14ac:dyDescent="0.25">
      <c r="B317" s="30">
        <v>7</v>
      </c>
      <c r="C317" s="30" t="s">
        <v>210</v>
      </c>
      <c r="D317" s="30" t="s">
        <v>211</v>
      </c>
      <c r="E317" s="30">
        <v>2</v>
      </c>
    </row>
    <row r="318" spans="1:5" x14ac:dyDescent="0.25">
      <c r="B318" s="30">
        <v>8</v>
      </c>
      <c r="C318" s="30" t="s">
        <v>56</v>
      </c>
      <c r="D318" s="30" t="s">
        <v>57</v>
      </c>
      <c r="E318" s="30">
        <v>7.0999999999999994E-2</v>
      </c>
    </row>
    <row r="319" spans="1:5" x14ac:dyDescent="0.25">
      <c r="B319" s="30"/>
      <c r="C319" s="30"/>
      <c r="D319" s="30"/>
      <c r="E319" s="30"/>
    </row>
    <row r="320" spans="1:5" x14ac:dyDescent="0.25">
      <c r="B320" s="30"/>
      <c r="C320" s="30"/>
      <c r="D320" s="30"/>
      <c r="E320" s="30"/>
    </row>
    <row r="321" spans="1:5" x14ac:dyDescent="0.25">
      <c r="B321" s="30"/>
      <c r="C321" s="30"/>
      <c r="D321" s="30"/>
      <c r="E321" s="30"/>
    </row>
    <row r="322" spans="1:5" x14ac:dyDescent="0.25">
      <c r="B322" s="30"/>
      <c r="C322" s="30"/>
      <c r="D322" s="30"/>
      <c r="E322" s="30"/>
    </row>
    <row r="323" spans="1:5" x14ac:dyDescent="0.25">
      <c r="B323" s="30"/>
      <c r="C323" s="30"/>
      <c r="D323" s="30"/>
      <c r="E323" s="30"/>
    </row>
    <row r="324" spans="1:5" x14ac:dyDescent="0.25">
      <c r="B324" s="30"/>
      <c r="C324" s="30"/>
      <c r="D324" s="30"/>
      <c r="E324" s="30"/>
    </row>
    <row r="325" spans="1:5" x14ac:dyDescent="0.25">
      <c r="B325" s="25"/>
      <c r="C325" s="25"/>
      <c r="D325" s="25"/>
      <c r="E325" s="25"/>
    </row>
    <row r="326" spans="1:5" x14ac:dyDescent="0.25">
      <c r="A326" s="23">
        <f>IF(AND(Sheet3!B326=Sheet1!$Y$5,Sheet3!C326=Sheet1!$Y$6),1,0)</f>
        <v>0</v>
      </c>
      <c r="B326" s="25" t="s">
        <v>158</v>
      </c>
      <c r="C326" s="25">
        <v>0.25</v>
      </c>
      <c r="D326" s="39" t="s">
        <v>212</v>
      </c>
      <c r="E326" s="25"/>
    </row>
    <row r="327" spans="1:5" x14ac:dyDescent="0.25">
      <c r="B327" s="24" t="s">
        <v>28</v>
      </c>
      <c r="C327" s="24" t="s">
        <v>29</v>
      </c>
      <c r="D327" s="24" t="s">
        <v>30</v>
      </c>
      <c r="E327" s="24" t="s">
        <v>31</v>
      </c>
    </row>
    <row r="328" spans="1:5" x14ac:dyDescent="0.25">
      <c r="B328" s="30">
        <v>1</v>
      </c>
      <c r="C328" s="30" t="s">
        <v>133</v>
      </c>
      <c r="D328" s="30" t="s">
        <v>134</v>
      </c>
      <c r="E328" s="30">
        <v>1</v>
      </c>
    </row>
    <row r="329" spans="1:5" x14ac:dyDescent="0.25">
      <c r="B329" s="30">
        <v>2</v>
      </c>
      <c r="C329" s="30" t="s">
        <v>135</v>
      </c>
      <c r="D329" s="30" t="s">
        <v>136</v>
      </c>
      <c r="E329" s="30">
        <v>2</v>
      </c>
    </row>
    <row r="330" spans="1:5" x14ac:dyDescent="0.25">
      <c r="B330" s="30">
        <v>3</v>
      </c>
      <c r="C330" s="30" t="s">
        <v>123</v>
      </c>
      <c r="D330" s="30" t="s">
        <v>124</v>
      </c>
      <c r="E330" s="30">
        <v>2</v>
      </c>
    </row>
    <row r="331" spans="1:5" x14ac:dyDescent="0.25">
      <c r="B331" s="30">
        <v>4</v>
      </c>
      <c r="C331" s="30" t="s">
        <v>38</v>
      </c>
      <c r="D331" s="30" t="s">
        <v>39</v>
      </c>
      <c r="E331" s="30">
        <v>6</v>
      </c>
    </row>
    <row r="332" spans="1:5" x14ac:dyDescent="0.25">
      <c r="B332" s="30">
        <v>5</v>
      </c>
      <c r="C332" s="30" t="s">
        <v>40</v>
      </c>
      <c r="D332" s="30" t="s">
        <v>41</v>
      </c>
      <c r="E332" s="30">
        <v>6</v>
      </c>
    </row>
    <row r="333" spans="1:5" x14ac:dyDescent="0.25">
      <c r="B333" s="30">
        <v>6</v>
      </c>
      <c r="C333" s="30" t="s">
        <v>153</v>
      </c>
      <c r="D333" s="30" t="s">
        <v>154</v>
      </c>
      <c r="E333" s="30">
        <v>1</v>
      </c>
    </row>
    <row r="334" spans="1:5" x14ac:dyDescent="0.25">
      <c r="B334" s="30">
        <v>7</v>
      </c>
      <c r="C334" s="30" t="s">
        <v>144</v>
      </c>
      <c r="D334" s="30" t="s">
        <v>145</v>
      </c>
      <c r="E334" s="30">
        <v>1</v>
      </c>
    </row>
    <row r="335" spans="1:5" x14ac:dyDescent="0.25">
      <c r="B335" s="30">
        <v>8</v>
      </c>
      <c r="C335" s="30" t="s">
        <v>210</v>
      </c>
      <c r="D335" s="30" t="s">
        <v>211</v>
      </c>
      <c r="E335" s="30">
        <v>2</v>
      </c>
    </row>
    <row r="336" spans="1:5" x14ac:dyDescent="0.25">
      <c r="B336" s="30">
        <v>9</v>
      </c>
      <c r="C336" s="30" t="s">
        <v>56</v>
      </c>
      <c r="D336" s="30" t="s">
        <v>57</v>
      </c>
      <c r="E336" s="30">
        <v>7.0999999999999994E-2</v>
      </c>
    </row>
    <row r="337" spans="2:5" x14ac:dyDescent="0.25">
      <c r="B337" s="30"/>
      <c r="C337" s="30"/>
      <c r="D337" s="30"/>
      <c r="E337" s="30"/>
    </row>
    <row r="338" spans="2:5" x14ac:dyDescent="0.25">
      <c r="B338" s="30"/>
      <c r="C338" s="30"/>
      <c r="D338" s="30"/>
      <c r="E338" s="30"/>
    </row>
    <row r="339" spans="2:5" x14ac:dyDescent="0.25">
      <c r="B339" s="30"/>
      <c r="C339" s="30"/>
      <c r="D339" s="30"/>
      <c r="E339" s="30"/>
    </row>
    <row r="340" spans="2:5" x14ac:dyDescent="0.25">
      <c r="B340" s="30"/>
      <c r="C340" s="30"/>
      <c r="D340" s="30"/>
      <c r="E340" s="30"/>
    </row>
    <row r="341" spans="2:5" x14ac:dyDescent="0.25">
      <c r="B341" s="25"/>
      <c r="C341" s="25"/>
      <c r="D341" s="25"/>
      <c r="E341" s="25"/>
    </row>
  </sheetData>
  <hyperlinks>
    <hyperlink ref="D36" r:id="rId1" xr:uid="{B57E91B6-968D-4ED9-9DF2-246B13BFEAAE}"/>
    <hyperlink ref="D53" r:id="rId2" xr:uid="{17F2AB60-0A18-4064-8EC6-D8179F4D5203}"/>
    <hyperlink ref="D70" r:id="rId3" xr:uid="{FCE1E98D-25C9-41A0-AB71-0BD4C1CF5DD1}"/>
    <hyperlink ref="D87" r:id="rId4" xr:uid="{4B3A082D-6166-432C-8EEE-810CEB23AE2E}"/>
    <hyperlink ref="D104" r:id="rId5" xr:uid="{4B86132D-BD20-4A01-9799-C0B40E89707A}"/>
    <hyperlink ref="D121" r:id="rId6" xr:uid="{67FD4DFE-FF41-479D-8181-F92932B07615}"/>
    <hyperlink ref="D138" r:id="rId7" xr:uid="{C201357C-BA19-43B3-A13B-63C70E24C1D5}"/>
    <hyperlink ref="D155" r:id="rId8" xr:uid="{8EA0BA27-F905-4F86-B74A-535750CE1E63}"/>
    <hyperlink ref="D172" r:id="rId9" xr:uid="{9A5A6A7F-9552-4D20-BF97-B90FA4EA5CF9}"/>
    <hyperlink ref="D189" r:id="rId10" xr:uid="{7FD9172C-3F98-4F8F-AF88-D70A4A254EF5}"/>
    <hyperlink ref="D206" r:id="rId11" xr:uid="{818C9793-847E-4944-B61B-FDE06880D248}"/>
    <hyperlink ref="D223" r:id="rId12" xr:uid="{AEA6C66C-FE3C-4E99-8E55-B81152EFC714}"/>
    <hyperlink ref="D19" r:id="rId13" xr:uid="{037F8230-F7FF-477A-A3D6-B25899A82E43}"/>
    <hyperlink ref="D241" r:id="rId14" xr:uid="{96DD36CB-3B96-4435-9729-79359DC645E3}"/>
    <hyperlink ref="D258" r:id="rId15" xr:uid="{42A9D9C7-5388-4521-A17F-65F2D788171E}"/>
    <hyperlink ref="D275" r:id="rId16" xr:uid="{1A7CD943-BCE4-49A1-92FE-DFF2C8B18365}"/>
    <hyperlink ref="D292" r:id="rId17" xr:uid="{C0628E07-D37C-4270-967F-CD71B4AD6A74}"/>
    <hyperlink ref="D309" r:id="rId18" xr:uid="{23B205A2-3DD3-433E-991A-B2083A22D219}"/>
    <hyperlink ref="D326" r:id="rId19" xr:uid="{A48B1751-0A08-4814-A44C-0A47FA3A2E0F}"/>
    <hyperlink ref="D2" r:id="rId20" xr:uid="{4062E083-5998-49A5-B594-0AF4BB32D983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4A4FAC-EE0F-4374-A3DE-8C9AD74661BF}">
  <sheetPr codeName="Sheet3"/>
  <dimension ref="A1:H1101"/>
  <sheetViews>
    <sheetView workbookViewId="0">
      <selection activeCell="A3" sqref="A3"/>
    </sheetView>
  </sheetViews>
  <sheetFormatPr defaultColWidth="8.85546875" defaultRowHeight="15" x14ac:dyDescent="0.25"/>
  <cols>
    <col min="2" max="2" width="16.42578125" bestFit="1" customWidth="1"/>
    <col min="4" max="4" width="10.28515625" bestFit="1" customWidth="1"/>
  </cols>
  <sheetData>
    <row r="1" spans="1:7" x14ac:dyDescent="0.25">
      <c r="A1" s="21" t="s">
        <v>118</v>
      </c>
      <c r="B1" s="21" t="s">
        <v>213</v>
      </c>
      <c r="C1" s="21" t="s">
        <v>18</v>
      </c>
      <c r="D1" s="21" t="s">
        <v>43</v>
      </c>
      <c r="E1" s="21" t="s">
        <v>44</v>
      </c>
      <c r="F1" s="21" t="s">
        <v>45</v>
      </c>
      <c r="G1" s="21" t="s">
        <v>46</v>
      </c>
    </row>
    <row r="2" spans="1:7" x14ac:dyDescent="0.25">
      <c r="A2">
        <f>IF(AND(Sheet2!B2=Sheet1!B$19,Sheet2!C2=Sheet1!C$19,Sheet2!D2=Sheet1!D$19),1,0)</f>
        <v>0</v>
      </c>
      <c r="B2" s="10" t="s">
        <v>214</v>
      </c>
      <c r="C2" s="11">
        <v>0.25</v>
      </c>
      <c r="D2" s="22">
        <v>2</v>
      </c>
      <c r="E2" s="22">
        <v>11000</v>
      </c>
      <c r="F2" s="10" t="s">
        <v>74</v>
      </c>
      <c r="G2" s="10" t="str">
        <f>CONCATENATE(E2,F2)</f>
        <v>11000A</v>
      </c>
    </row>
    <row r="3" spans="1:7" x14ac:dyDescent="0.25">
      <c r="A3">
        <f>IF(AND(Sheet2!B3=Sheet1!B$19,Sheet2!C3=Sheet1!C$19,Sheet2!D3=Sheet1!D$19),1,0)</f>
        <v>0</v>
      </c>
      <c r="B3" s="10" t="s">
        <v>214</v>
      </c>
      <c r="C3" s="11">
        <v>0.25</v>
      </c>
      <c r="D3" s="22">
        <v>3</v>
      </c>
      <c r="E3" s="22">
        <v>11001</v>
      </c>
      <c r="F3" s="10" t="s">
        <v>74</v>
      </c>
      <c r="G3" s="10" t="str">
        <f t="shared" ref="G3:G183" si="0">CONCATENATE(E3,F3)</f>
        <v>11001A</v>
      </c>
    </row>
    <row r="4" spans="1:7" x14ac:dyDescent="0.25">
      <c r="A4">
        <f>IF(AND(Sheet2!B4=Sheet1!B$19,Sheet2!C4=Sheet1!C$19,Sheet2!D4=Sheet1!D$19),1,0)</f>
        <v>0</v>
      </c>
      <c r="B4" s="10" t="s">
        <v>214</v>
      </c>
      <c r="C4" s="11">
        <v>0.25</v>
      </c>
      <c r="D4" s="22">
        <v>4</v>
      </c>
      <c r="E4" s="22">
        <v>11002</v>
      </c>
      <c r="F4" s="10" t="s">
        <v>74</v>
      </c>
      <c r="G4" s="10" t="str">
        <f t="shared" si="0"/>
        <v>11002A</v>
      </c>
    </row>
    <row r="5" spans="1:7" x14ac:dyDescent="0.25">
      <c r="A5">
        <f>IF(AND(Sheet2!B5=Sheet1!B$19,Sheet2!C5=Sheet1!C$19,Sheet2!D5=Sheet1!D$19),1,0)</f>
        <v>0</v>
      </c>
      <c r="B5" s="10" t="s">
        <v>214</v>
      </c>
      <c r="C5" s="11">
        <v>0.25</v>
      </c>
      <c r="D5" s="22">
        <v>5</v>
      </c>
      <c r="E5" s="22">
        <v>11003</v>
      </c>
      <c r="F5" s="10" t="s">
        <v>74</v>
      </c>
      <c r="G5" s="10" t="str">
        <f t="shared" si="0"/>
        <v>11003A</v>
      </c>
    </row>
    <row r="6" spans="1:7" x14ac:dyDescent="0.25">
      <c r="A6">
        <f>IF(AND(Sheet2!B6=Sheet1!B$19,Sheet2!C6=Sheet1!C$19,Sheet2!D6=Sheet1!D$19),1,0)</f>
        <v>0</v>
      </c>
      <c r="B6" s="10" t="s">
        <v>214</v>
      </c>
      <c r="C6" s="11">
        <v>0.25</v>
      </c>
      <c r="D6" s="22">
        <v>6</v>
      </c>
      <c r="E6" s="22">
        <v>11004</v>
      </c>
      <c r="F6" s="10" t="s">
        <v>74</v>
      </c>
      <c r="G6" s="10" t="str">
        <f t="shared" si="0"/>
        <v>11004A</v>
      </c>
    </row>
    <row r="7" spans="1:7" x14ac:dyDescent="0.25">
      <c r="A7">
        <f>IF(AND(Sheet2!B7=Sheet1!B$19,Sheet2!C7=Sheet1!C$19,Sheet2!D7=Sheet1!D$19),1,0)</f>
        <v>0</v>
      </c>
      <c r="B7" s="10" t="s">
        <v>214</v>
      </c>
      <c r="C7" s="11">
        <v>0.25</v>
      </c>
      <c r="D7" s="22">
        <v>7</v>
      </c>
      <c r="E7" s="22">
        <v>11005</v>
      </c>
      <c r="F7" s="10" t="s">
        <v>74</v>
      </c>
      <c r="G7" s="10" t="str">
        <f t="shared" si="0"/>
        <v>11005A</v>
      </c>
    </row>
    <row r="8" spans="1:7" x14ac:dyDescent="0.25">
      <c r="A8">
        <f>IF(AND(Sheet2!B8=Sheet1!B$19,Sheet2!C8=Sheet1!C$19,Sheet2!D8=Sheet1!D$19),1,0)</f>
        <v>0</v>
      </c>
      <c r="B8" s="10" t="s">
        <v>214</v>
      </c>
      <c r="C8" s="11">
        <v>0.25</v>
      </c>
      <c r="D8" s="22">
        <v>8</v>
      </c>
      <c r="E8" s="22">
        <v>11006</v>
      </c>
      <c r="F8" s="10" t="s">
        <v>74</v>
      </c>
      <c r="G8" s="10" t="str">
        <f t="shared" si="0"/>
        <v>11006A</v>
      </c>
    </row>
    <row r="9" spans="1:7" x14ac:dyDescent="0.25">
      <c r="A9">
        <f>IF(AND(Sheet2!B9=Sheet1!B$19,Sheet2!C9=Sheet1!C$19,Sheet2!D9=Sheet1!D$19),1,0)</f>
        <v>0</v>
      </c>
      <c r="B9" s="10" t="s">
        <v>214</v>
      </c>
      <c r="C9" s="11">
        <v>0.25</v>
      </c>
      <c r="D9" s="22">
        <v>9</v>
      </c>
      <c r="E9" s="22">
        <v>11007</v>
      </c>
      <c r="F9" s="10" t="s">
        <v>74</v>
      </c>
      <c r="G9" s="10" t="str">
        <f t="shared" si="0"/>
        <v>11007A</v>
      </c>
    </row>
    <row r="10" spans="1:7" x14ac:dyDescent="0.25">
      <c r="A10">
        <f>IF(AND(Sheet2!B10=Sheet1!B$19,Sheet2!C10=Sheet1!C$19,Sheet2!D10=Sheet1!D$19),1,0)</f>
        <v>0</v>
      </c>
      <c r="B10" s="10" t="s">
        <v>214</v>
      </c>
      <c r="C10" s="11">
        <v>0.25</v>
      </c>
      <c r="D10" s="22">
        <v>10</v>
      </c>
      <c r="E10" s="22">
        <v>11008</v>
      </c>
      <c r="F10" s="10" t="s">
        <v>74</v>
      </c>
      <c r="G10" s="10" t="str">
        <f t="shared" si="0"/>
        <v>11008A</v>
      </c>
    </row>
    <row r="11" spans="1:7" x14ac:dyDescent="0.25">
      <c r="A11">
        <f>IF(AND(Sheet2!B11=Sheet1!B$19,Sheet2!C11=Sheet1!C$19,Sheet2!D11=Sheet1!D$19),1,0)</f>
        <v>0</v>
      </c>
      <c r="B11" s="10" t="s">
        <v>214</v>
      </c>
      <c r="C11" s="11">
        <v>0.25</v>
      </c>
      <c r="D11" s="22">
        <v>11</v>
      </c>
      <c r="E11" s="22">
        <v>11009</v>
      </c>
      <c r="F11" s="10" t="s">
        <v>74</v>
      </c>
      <c r="G11" s="10" t="str">
        <f t="shared" si="0"/>
        <v>11009A</v>
      </c>
    </row>
    <row r="12" spans="1:7" x14ac:dyDescent="0.25">
      <c r="A12">
        <f>IF(AND(Sheet2!B12=Sheet1!B$19,Sheet2!C12=Sheet1!C$19,Sheet2!D12=Sheet1!D$19),1,0)</f>
        <v>0</v>
      </c>
      <c r="B12" s="10" t="s">
        <v>214</v>
      </c>
      <c r="C12" s="11">
        <v>0.25</v>
      </c>
      <c r="D12" s="22">
        <v>12</v>
      </c>
      <c r="E12" s="22">
        <v>11010</v>
      </c>
      <c r="F12" s="10" t="s">
        <v>74</v>
      </c>
      <c r="G12" s="10" t="str">
        <f t="shared" si="0"/>
        <v>11010A</v>
      </c>
    </row>
    <row r="13" spans="1:7" x14ac:dyDescent="0.25">
      <c r="A13">
        <f>IF(AND(Sheet2!B13=Sheet1!B$19,Sheet2!C13=Sheet1!C$19,Sheet2!D13=Sheet1!D$19),1,0)</f>
        <v>0</v>
      </c>
      <c r="B13" s="10" t="s">
        <v>214</v>
      </c>
      <c r="C13" s="11">
        <v>0.25</v>
      </c>
      <c r="D13" s="22">
        <v>13</v>
      </c>
      <c r="E13" s="22">
        <v>11011</v>
      </c>
      <c r="F13" s="10" t="s">
        <v>74</v>
      </c>
      <c r="G13" s="10" t="str">
        <f t="shared" si="0"/>
        <v>11011A</v>
      </c>
    </row>
    <row r="14" spans="1:7" x14ac:dyDescent="0.25">
      <c r="A14">
        <f>IF(AND(Sheet2!B14=Sheet1!B$19,Sheet2!C14=Sheet1!C$19,Sheet2!D14=Sheet1!D$19),1,0)</f>
        <v>0</v>
      </c>
      <c r="B14" s="10" t="s">
        <v>214</v>
      </c>
      <c r="C14" s="11">
        <v>0.25</v>
      </c>
      <c r="D14" s="22">
        <v>14</v>
      </c>
      <c r="E14" s="22">
        <v>11012</v>
      </c>
      <c r="F14" s="10" t="s">
        <v>74</v>
      </c>
      <c r="G14" s="10" t="str">
        <f t="shared" si="0"/>
        <v>11012A</v>
      </c>
    </row>
    <row r="15" spans="1:7" x14ac:dyDescent="0.25">
      <c r="A15">
        <f>IF(AND(Sheet2!B15=Sheet1!B$19,Sheet2!C15=Sheet1!C$19,Sheet2!D15=Sheet1!D$19),1,0)</f>
        <v>0</v>
      </c>
      <c r="B15" s="10" t="s">
        <v>214</v>
      </c>
      <c r="C15" s="11">
        <v>0.25</v>
      </c>
      <c r="D15" s="22">
        <v>15</v>
      </c>
      <c r="E15" s="22">
        <v>11013</v>
      </c>
      <c r="F15" s="10" t="s">
        <v>74</v>
      </c>
      <c r="G15" s="10" t="str">
        <f t="shared" si="0"/>
        <v>11013A</v>
      </c>
    </row>
    <row r="16" spans="1:7" x14ac:dyDescent="0.25">
      <c r="A16">
        <f>IF(AND(Sheet2!B16=Sheet1!B$19,Sheet2!C16=Sheet1!C$19,Sheet2!D16=Sheet1!D$19),1,0)</f>
        <v>0</v>
      </c>
      <c r="B16" s="10" t="s">
        <v>214</v>
      </c>
      <c r="C16" s="11">
        <v>0.25</v>
      </c>
      <c r="D16" s="22">
        <v>16</v>
      </c>
      <c r="E16" s="22">
        <v>11014</v>
      </c>
      <c r="F16" s="10" t="s">
        <v>74</v>
      </c>
      <c r="G16" s="10" t="str">
        <f t="shared" si="0"/>
        <v>11014A</v>
      </c>
    </row>
    <row r="17" spans="1:8" x14ac:dyDescent="0.25">
      <c r="A17">
        <f>IF(AND(Sheet2!B17=Sheet1!B$19,Sheet2!C17=Sheet1!C$19,Sheet2!D17=Sheet1!D$19),1,0)</f>
        <v>0</v>
      </c>
      <c r="B17" s="10" t="s">
        <v>214</v>
      </c>
      <c r="C17" s="11">
        <v>0.25</v>
      </c>
      <c r="D17" s="22">
        <v>17</v>
      </c>
      <c r="E17" s="22">
        <v>11015</v>
      </c>
      <c r="F17" s="10" t="s">
        <v>74</v>
      </c>
      <c r="G17" s="10" t="str">
        <f t="shared" si="0"/>
        <v>11015A</v>
      </c>
    </row>
    <row r="18" spans="1:8" x14ac:dyDescent="0.25">
      <c r="A18">
        <f>IF(AND(Sheet2!B18=Sheet1!B$19,Sheet2!C18=Sheet1!C$19,Sheet2!D18=Sheet1!D$19),1,0)</f>
        <v>0</v>
      </c>
      <c r="B18" s="10" t="s">
        <v>214</v>
      </c>
      <c r="C18" s="11">
        <v>0.25</v>
      </c>
      <c r="D18" s="22">
        <v>18</v>
      </c>
      <c r="E18" s="22">
        <v>11016</v>
      </c>
      <c r="F18" s="10" t="s">
        <v>74</v>
      </c>
      <c r="G18" s="10" t="str">
        <f t="shared" si="0"/>
        <v>11016A</v>
      </c>
    </row>
    <row r="19" spans="1:8" x14ac:dyDescent="0.25">
      <c r="A19">
        <f>IF(AND(Sheet2!B19=Sheet1!B$19,Sheet2!C19=Sheet1!C$19,Sheet2!D19=Sheet1!D$19),1,0)</f>
        <v>0</v>
      </c>
      <c r="B19" s="10" t="s">
        <v>214</v>
      </c>
      <c r="C19" s="11">
        <v>0.25</v>
      </c>
      <c r="D19" s="22">
        <v>19</v>
      </c>
      <c r="E19" s="22">
        <v>11017</v>
      </c>
      <c r="F19" s="10" t="s">
        <v>74</v>
      </c>
      <c r="G19" s="10" t="str">
        <f t="shared" ref="G19" si="1">CONCATENATE(E19,F19)</f>
        <v>11017A</v>
      </c>
      <c r="H19" s="20"/>
    </row>
    <row r="20" spans="1:8" x14ac:dyDescent="0.25">
      <c r="A20">
        <f>IF(AND(Sheet2!B20=Sheet1!B$19,Sheet2!C20=Sheet1!C$19,Sheet2!D20=Sheet1!D$19),1,0)</f>
        <v>0</v>
      </c>
      <c r="B20" s="10" t="s">
        <v>214</v>
      </c>
      <c r="C20" s="11">
        <v>0.25</v>
      </c>
      <c r="D20" s="22">
        <v>20</v>
      </c>
      <c r="E20" s="22">
        <v>11018</v>
      </c>
      <c r="F20" s="10" t="s">
        <v>74</v>
      </c>
      <c r="G20" s="10" t="str">
        <f t="shared" si="0"/>
        <v>11018A</v>
      </c>
    </row>
    <row r="21" spans="1:8" x14ac:dyDescent="0.25">
      <c r="A21">
        <f>IF(AND(Sheet2!B21=Sheet1!B$19,Sheet2!C21=Sheet1!C$19,Sheet2!D21=Sheet1!D$19),1,0)</f>
        <v>0</v>
      </c>
      <c r="B21" s="10" t="s">
        <v>214</v>
      </c>
      <c r="C21" s="11">
        <v>0.25</v>
      </c>
      <c r="D21" s="22">
        <v>21</v>
      </c>
      <c r="E21" s="22">
        <v>11268</v>
      </c>
      <c r="F21" s="10" t="s">
        <v>74</v>
      </c>
      <c r="G21" s="10" t="str">
        <f t="shared" si="0"/>
        <v>11268A</v>
      </c>
    </row>
    <row r="22" spans="1:8" x14ac:dyDescent="0.25">
      <c r="A22">
        <f>IF(AND(Sheet2!B22=Sheet1!B$19,Sheet2!C22=Sheet1!C$19,Sheet2!D22=Sheet1!D$19),1,0)</f>
        <v>0</v>
      </c>
      <c r="B22" s="10" t="s">
        <v>214</v>
      </c>
      <c r="C22" s="11">
        <v>0.25</v>
      </c>
      <c r="D22" s="22">
        <v>22</v>
      </c>
      <c r="E22" s="22">
        <v>11269</v>
      </c>
      <c r="F22" s="10" t="s">
        <v>74</v>
      </c>
      <c r="G22" s="10" t="str">
        <f t="shared" si="0"/>
        <v>11269A</v>
      </c>
    </row>
    <row r="23" spans="1:8" x14ac:dyDescent="0.25">
      <c r="A23">
        <f>IF(AND(Sheet2!B23=Sheet1!B$19,Sheet2!C23=Sheet1!C$19,Sheet2!D23=Sheet1!D$19),1,0)</f>
        <v>0</v>
      </c>
      <c r="B23" s="10" t="s">
        <v>214</v>
      </c>
      <c r="C23" s="11">
        <v>0.25</v>
      </c>
      <c r="D23" s="22">
        <v>23</v>
      </c>
      <c r="E23" s="22">
        <v>11270</v>
      </c>
      <c r="F23" s="10" t="s">
        <v>74</v>
      </c>
      <c r="G23" s="10" t="str">
        <f t="shared" si="0"/>
        <v>11270A</v>
      </c>
    </row>
    <row r="24" spans="1:8" x14ac:dyDescent="0.25">
      <c r="A24">
        <f>IF(AND(Sheet2!B24=Sheet1!B$19,Sheet2!C24=Sheet1!C$19,Sheet2!D24=Sheet1!D$19),1,0)</f>
        <v>0</v>
      </c>
      <c r="B24" s="10" t="s">
        <v>214</v>
      </c>
      <c r="C24" s="11">
        <v>0.25</v>
      </c>
      <c r="D24" s="22">
        <v>24</v>
      </c>
      <c r="E24" s="22">
        <v>11271</v>
      </c>
      <c r="F24" s="10" t="s">
        <v>74</v>
      </c>
      <c r="G24" s="10" t="str">
        <f t="shared" si="0"/>
        <v>11271A</v>
      </c>
    </row>
    <row r="25" spans="1:8" x14ac:dyDescent="0.25">
      <c r="A25">
        <f>IF(AND(Sheet2!B25=Sheet1!B$19,Sheet2!C25=Sheet1!C$19,Sheet2!D25=Sheet1!D$19),1,0)</f>
        <v>0</v>
      </c>
      <c r="B25" s="10" t="s">
        <v>214</v>
      </c>
      <c r="C25" s="11">
        <v>0.25</v>
      </c>
      <c r="D25" s="22">
        <v>25</v>
      </c>
      <c r="E25" s="22">
        <v>11272</v>
      </c>
      <c r="F25" s="10" t="s">
        <v>74</v>
      </c>
      <c r="G25" s="10" t="str">
        <f t="shared" si="0"/>
        <v>11272A</v>
      </c>
    </row>
    <row r="26" spans="1:8" x14ac:dyDescent="0.25">
      <c r="A26">
        <f>IF(AND(Sheet2!B26=Sheet1!B$19,Sheet2!C26=Sheet1!C$19,Sheet2!D26=Sheet1!D$19),1,0)</f>
        <v>0</v>
      </c>
      <c r="B26" s="10" t="s">
        <v>214</v>
      </c>
      <c r="C26" s="11">
        <v>0.25</v>
      </c>
      <c r="D26" s="22">
        <v>26</v>
      </c>
      <c r="E26" s="22">
        <v>11273</v>
      </c>
      <c r="F26" s="10" t="s">
        <v>74</v>
      </c>
      <c r="G26" s="10" t="str">
        <f t="shared" si="0"/>
        <v>11273A</v>
      </c>
    </row>
    <row r="27" spans="1:8" x14ac:dyDescent="0.25">
      <c r="A27">
        <f>IF(AND(Sheet2!B27=Sheet1!B$19,Sheet2!C27=Sheet1!C$19,Sheet2!D27=Sheet1!D$19),1,0)</f>
        <v>0</v>
      </c>
      <c r="B27" s="10" t="s">
        <v>214</v>
      </c>
      <c r="C27" s="11">
        <v>0.25</v>
      </c>
      <c r="D27" s="22">
        <v>27</v>
      </c>
      <c r="E27" s="22">
        <v>11274</v>
      </c>
      <c r="F27" s="10" t="s">
        <v>74</v>
      </c>
      <c r="G27" s="10" t="str">
        <f t="shared" si="0"/>
        <v>11274A</v>
      </c>
    </row>
    <row r="28" spans="1:8" x14ac:dyDescent="0.25">
      <c r="A28">
        <f>IF(AND(Sheet2!B28=Sheet1!B$19,Sheet2!C28=Sheet1!C$19,Sheet2!D28=Sheet1!D$19),1,0)</f>
        <v>0</v>
      </c>
      <c r="B28" s="10" t="s">
        <v>214</v>
      </c>
      <c r="C28" s="11">
        <v>0.25</v>
      </c>
      <c r="D28" s="22">
        <v>28</v>
      </c>
      <c r="E28" s="22">
        <v>11275</v>
      </c>
      <c r="F28" s="10" t="s">
        <v>74</v>
      </c>
      <c r="G28" s="10" t="str">
        <f t="shared" si="0"/>
        <v>11275A</v>
      </c>
    </row>
    <row r="29" spans="1:8" x14ac:dyDescent="0.25">
      <c r="A29">
        <f>IF(AND(Sheet2!B29=Sheet1!B$19,Sheet2!C29=Sheet1!C$19,Sheet2!D29=Sheet1!D$19),1,0)</f>
        <v>0</v>
      </c>
      <c r="B29" s="10" t="s">
        <v>214</v>
      </c>
      <c r="C29" s="11">
        <v>0.25</v>
      </c>
      <c r="D29" s="22">
        <v>29</v>
      </c>
      <c r="E29" s="22">
        <v>11276</v>
      </c>
      <c r="F29" s="10" t="s">
        <v>74</v>
      </c>
      <c r="G29" s="10" t="str">
        <f t="shared" si="0"/>
        <v>11276A</v>
      </c>
    </row>
    <row r="30" spans="1:8" x14ac:dyDescent="0.25">
      <c r="A30">
        <f>IF(AND(Sheet2!B30=Sheet1!B$19,Sheet2!C30=Sheet1!C$19,Sheet2!D30=Sheet1!D$19),1,0)</f>
        <v>0</v>
      </c>
      <c r="B30" s="10" t="s">
        <v>214</v>
      </c>
      <c r="C30" s="11">
        <v>0.25</v>
      </c>
      <c r="D30" s="22">
        <v>30</v>
      </c>
      <c r="E30" s="22">
        <v>11277</v>
      </c>
      <c r="F30" s="10" t="s">
        <v>74</v>
      </c>
      <c r="G30" s="10" t="str">
        <f t="shared" si="0"/>
        <v>11277A</v>
      </c>
    </row>
    <row r="31" spans="1:8" x14ac:dyDescent="0.25">
      <c r="A31">
        <f>IF(AND(Sheet2!B31=Sheet1!B$19,Sheet2!C31=Sheet1!C$19,Sheet2!D31=Sheet1!D$19),1,0)</f>
        <v>0</v>
      </c>
      <c r="B31" s="10" t="s">
        <v>214</v>
      </c>
      <c r="C31" s="11">
        <v>0.25</v>
      </c>
      <c r="D31" s="22">
        <v>31</v>
      </c>
      <c r="E31" s="22">
        <v>11278</v>
      </c>
      <c r="F31" s="10" t="s">
        <v>74</v>
      </c>
      <c r="G31" s="10" t="str">
        <f t="shared" si="0"/>
        <v>11278A</v>
      </c>
    </row>
    <row r="32" spans="1:8" x14ac:dyDescent="0.25">
      <c r="A32">
        <f>IF(AND(Sheet2!B32=Sheet1!B$19,Sheet2!C32=Sheet1!C$19,Sheet2!D32=Sheet1!D$19),1,0)</f>
        <v>0</v>
      </c>
      <c r="B32" s="10" t="s">
        <v>214</v>
      </c>
      <c r="C32" s="11">
        <v>0.25</v>
      </c>
      <c r="D32" s="22">
        <v>32</v>
      </c>
      <c r="E32" s="22">
        <v>11279</v>
      </c>
      <c r="F32" s="10" t="s">
        <v>74</v>
      </c>
      <c r="G32" s="10" t="str">
        <f t="shared" si="0"/>
        <v>11279A</v>
      </c>
    </row>
    <row r="33" spans="1:7" x14ac:dyDescent="0.25">
      <c r="A33">
        <f>IF(AND(Sheet2!B33=Sheet1!B$19,Sheet2!C33=Sheet1!C$19,Sheet2!D33=Sheet1!D$19),1,0)</f>
        <v>0</v>
      </c>
      <c r="B33" s="10" t="s">
        <v>214</v>
      </c>
      <c r="C33" s="11">
        <v>0.25</v>
      </c>
      <c r="D33" s="22">
        <v>33</v>
      </c>
      <c r="E33" s="22">
        <v>11280</v>
      </c>
      <c r="F33" s="10" t="s">
        <v>74</v>
      </c>
      <c r="G33" s="10" t="str">
        <f t="shared" si="0"/>
        <v>11280A</v>
      </c>
    </row>
    <row r="34" spans="1:7" x14ac:dyDescent="0.25">
      <c r="A34">
        <f>IF(AND(Sheet2!B34=Sheet1!B$19,Sheet2!C34=Sheet1!C$19,Sheet2!D34=Sheet1!D$19),1,0)</f>
        <v>0</v>
      </c>
      <c r="B34" s="10" t="s">
        <v>214</v>
      </c>
      <c r="C34" s="11">
        <v>0.25</v>
      </c>
      <c r="D34" s="22">
        <v>34</v>
      </c>
      <c r="E34" s="22">
        <v>11281</v>
      </c>
      <c r="F34" s="10" t="s">
        <v>74</v>
      </c>
      <c r="G34" s="10" t="str">
        <f t="shared" si="0"/>
        <v>11281A</v>
      </c>
    </row>
    <row r="35" spans="1:7" x14ac:dyDescent="0.25">
      <c r="A35">
        <f>IF(AND(Sheet2!B35=Sheet1!B$19,Sheet2!C35=Sheet1!C$19,Sheet2!D35=Sheet1!D$19),1,0)</f>
        <v>0</v>
      </c>
      <c r="B35" s="10" t="s">
        <v>214</v>
      </c>
      <c r="C35" s="11">
        <v>0.25</v>
      </c>
      <c r="D35" s="22">
        <v>35</v>
      </c>
      <c r="E35" s="22">
        <v>11282</v>
      </c>
      <c r="F35" s="10" t="s">
        <v>74</v>
      </c>
      <c r="G35" s="10" t="str">
        <f t="shared" si="0"/>
        <v>11282A</v>
      </c>
    </row>
    <row r="36" spans="1:7" x14ac:dyDescent="0.25">
      <c r="A36">
        <f>IF(AND(Sheet2!B36=Sheet1!B$19,Sheet2!C36=Sheet1!C$19,Sheet2!D36=Sheet1!D$19),1,0)</f>
        <v>0</v>
      </c>
      <c r="B36" s="10" t="s">
        <v>214</v>
      </c>
      <c r="C36" s="11">
        <v>0.25</v>
      </c>
      <c r="D36" s="22">
        <v>36</v>
      </c>
      <c r="E36" s="22">
        <v>11283</v>
      </c>
      <c r="F36" s="10" t="s">
        <v>74</v>
      </c>
      <c r="G36" s="10" t="str">
        <f t="shared" si="0"/>
        <v>11283A</v>
      </c>
    </row>
    <row r="37" spans="1:7" x14ac:dyDescent="0.25">
      <c r="A37">
        <f>IF(AND(Sheet2!B37=Sheet1!B$19,Sheet2!C37=Sheet1!C$19,Sheet2!D37=Sheet1!D$19),1,0)</f>
        <v>0</v>
      </c>
      <c r="B37" s="10" t="s">
        <v>214</v>
      </c>
      <c r="C37" s="11">
        <v>0.25</v>
      </c>
      <c r="D37" s="22">
        <v>37</v>
      </c>
      <c r="E37" s="22">
        <v>11284</v>
      </c>
      <c r="F37" s="10" t="s">
        <v>74</v>
      </c>
      <c r="G37" s="10" t="str">
        <f t="shared" si="0"/>
        <v>11284A</v>
      </c>
    </row>
    <row r="38" spans="1:7" x14ac:dyDescent="0.25">
      <c r="A38">
        <f>IF(AND(Sheet2!B38=Sheet1!B$19,Sheet2!C38=Sheet1!C$19,Sheet2!D38=Sheet1!D$19),1,0)</f>
        <v>0</v>
      </c>
      <c r="B38" s="10" t="s">
        <v>214</v>
      </c>
      <c r="C38" s="11">
        <v>0.25</v>
      </c>
      <c r="D38" s="22">
        <v>38</v>
      </c>
      <c r="E38" s="22">
        <v>11285</v>
      </c>
      <c r="F38" s="10" t="s">
        <v>74</v>
      </c>
      <c r="G38" s="10" t="str">
        <f t="shared" si="0"/>
        <v>11285A</v>
      </c>
    </row>
    <row r="39" spans="1:7" x14ac:dyDescent="0.25">
      <c r="A39">
        <f>IF(AND(Sheet2!B39=Sheet1!B$19,Sheet2!C39=Sheet1!C$19,Sheet2!D39=Sheet1!D$19),1,0)</f>
        <v>0</v>
      </c>
      <c r="B39" s="10" t="s">
        <v>214</v>
      </c>
      <c r="C39" s="11">
        <v>0.25</v>
      </c>
      <c r="D39" s="22">
        <v>39</v>
      </c>
      <c r="E39" s="22">
        <v>11286</v>
      </c>
      <c r="F39" s="10" t="s">
        <v>74</v>
      </c>
      <c r="G39" s="10" t="str">
        <f t="shared" si="0"/>
        <v>11286A</v>
      </c>
    </row>
    <row r="40" spans="1:7" x14ac:dyDescent="0.25">
      <c r="A40">
        <f>IF(AND(Sheet2!B40=Sheet1!B$19,Sheet2!C40=Sheet1!C$19,Sheet2!D40=Sheet1!D$19),1,0)</f>
        <v>0</v>
      </c>
      <c r="B40" s="10" t="s">
        <v>214</v>
      </c>
      <c r="C40" s="11">
        <v>0.25</v>
      </c>
      <c r="D40" s="22">
        <v>40</v>
      </c>
      <c r="E40" s="22">
        <v>11287</v>
      </c>
      <c r="F40" s="10" t="s">
        <v>74</v>
      </c>
      <c r="G40" s="10" t="str">
        <f t="shared" si="0"/>
        <v>11287A</v>
      </c>
    </row>
    <row r="41" spans="1:7" x14ac:dyDescent="0.25">
      <c r="A41">
        <f>IF(AND(Sheet2!B41=Sheet1!B$19,Sheet2!C41=Sheet1!C$19,Sheet2!D41=Sheet1!D$19),1,0)</f>
        <v>0</v>
      </c>
      <c r="B41" s="10" t="s">
        <v>214</v>
      </c>
      <c r="C41" s="11">
        <v>0.25</v>
      </c>
      <c r="D41" s="22">
        <v>41</v>
      </c>
      <c r="E41" s="22">
        <v>11288</v>
      </c>
      <c r="F41" s="10" t="s">
        <v>74</v>
      </c>
      <c r="G41" s="10" t="str">
        <f t="shared" si="0"/>
        <v>11288A</v>
      </c>
    </row>
    <row r="42" spans="1:7" x14ac:dyDescent="0.25">
      <c r="A42">
        <f>IF(AND(Sheet2!B42=Sheet1!B$19,Sheet2!C42=Sheet1!C$19,Sheet2!D42=Sheet1!D$19),1,0)</f>
        <v>0</v>
      </c>
      <c r="B42" s="10" t="s">
        <v>214</v>
      </c>
      <c r="C42" s="11">
        <v>0.25</v>
      </c>
      <c r="D42" s="22">
        <v>42</v>
      </c>
      <c r="E42" s="22">
        <v>11289</v>
      </c>
      <c r="F42" s="10" t="s">
        <v>74</v>
      </c>
      <c r="G42" s="10" t="str">
        <f t="shared" si="0"/>
        <v>11289A</v>
      </c>
    </row>
    <row r="43" spans="1:7" x14ac:dyDescent="0.25">
      <c r="A43">
        <f>IF(AND(Sheet2!B43=Sheet1!B$19,Sheet2!C43=Sheet1!C$19,Sheet2!D43=Sheet1!D$19),1,0)</f>
        <v>0</v>
      </c>
      <c r="B43" s="10" t="s">
        <v>214</v>
      </c>
      <c r="C43" s="11">
        <v>0.25</v>
      </c>
      <c r="D43" s="22">
        <v>43</v>
      </c>
      <c r="E43" s="22">
        <v>11290</v>
      </c>
      <c r="F43" s="10" t="s">
        <v>74</v>
      </c>
      <c r="G43" s="10" t="str">
        <f t="shared" si="0"/>
        <v>11290A</v>
      </c>
    </row>
    <row r="44" spans="1:7" x14ac:dyDescent="0.25">
      <c r="A44">
        <f>IF(AND(Sheet2!B44=Sheet1!B$19,Sheet2!C44=Sheet1!C$19,Sheet2!D44=Sheet1!D$19),1,0)</f>
        <v>0</v>
      </c>
      <c r="B44" s="10" t="s">
        <v>214</v>
      </c>
      <c r="C44" s="11">
        <v>0.25</v>
      </c>
      <c r="D44" s="22">
        <v>44</v>
      </c>
      <c r="E44" s="22">
        <v>11291</v>
      </c>
      <c r="F44" s="10" t="s">
        <v>74</v>
      </c>
      <c r="G44" s="10" t="str">
        <f t="shared" si="0"/>
        <v>11291A</v>
      </c>
    </row>
    <row r="45" spans="1:7" x14ac:dyDescent="0.25">
      <c r="A45">
        <f>IF(AND(Sheet2!B45=Sheet1!B$19,Sheet2!C45=Sheet1!C$19,Sheet2!D45=Sheet1!D$19),1,0)</f>
        <v>0</v>
      </c>
      <c r="B45" s="10" t="s">
        <v>214</v>
      </c>
      <c r="C45" s="11">
        <v>0.25</v>
      </c>
      <c r="D45" s="22">
        <v>45</v>
      </c>
      <c r="E45" s="22">
        <v>11292</v>
      </c>
      <c r="F45" s="10" t="s">
        <v>74</v>
      </c>
      <c r="G45" s="10" t="str">
        <f t="shared" si="0"/>
        <v>11292A</v>
      </c>
    </row>
    <row r="46" spans="1:7" x14ac:dyDescent="0.25">
      <c r="A46">
        <f>IF(AND(Sheet2!B46=Sheet1!B$19,Sheet2!C46=Sheet1!C$19,Sheet2!D46=Sheet1!D$19),1,0)</f>
        <v>0</v>
      </c>
      <c r="B46" s="10" t="s">
        <v>214</v>
      </c>
      <c r="C46" s="11">
        <v>0.25</v>
      </c>
      <c r="D46" s="22">
        <v>46</v>
      </c>
      <c r="E46" s="22">
        <v>11293</v>
      </c>
      <c r="F46" s="10" t="s">
        <v>74</v>
      </c>
      <c r="G46" s="10" t="str">
        <f t="shared" si="0"/>
        <v>11293A</v>
      </c>
    </row>
    <row r="47" spans="1:7" x14ac:dyDescent="0.25">
      <c r="A47">
        <f>IF(AND(Sheet2!B47=Sheet1!B$19,Sheet2!C47=Sheet1!C$19,Sheet2!D47=Sheet1!D$19),1,0)</f>
        <v>0</v>
      </c>
      <c r="B47" s="10" t="s">
        <v>214</v>
      </c>
      <c r="C47" s="11">
        <v>0.25</v>
      </c>
      <c r="D47" s="22">
        <v>47</v>
      </c>
      <c r="E47" s="22">
        <v>11294</v>
      </c>
      <c r="F47" s="10" t="s">
        <v>74</v>
      </c>
      <c r="G47" s="10" t="str">
        <f t="shared" si="0"/>
        <v>11294A</v>
      </c>
    </row>
    <row r="48" spans="1:7" x14ac:dyDescent="0.25">
      <c r="A48">
        <f>IF(AND(Sheet2!B48=Sheet1!B$19,Sheet2!C48=Sheet1!C$19,Sheet2!D48=Sheet1!D$19),1,0)</f>
        <v>0</v>
      </c>
      <c r="B48" s="10" t="s">
        <v>214</v>
      </c>
      <c r="C48" s="11">
        <v>0.25</v>
      </c>
      <c r="D48" s="22">
        <v>48</v>
      </c>
      <c r="E48" s="22">
        <v>11295</v>
      </c>
      <c r="F48" s="10" t="s">
        <v>74</v>
      </c>
      <c r="G48" s="10" t="str">
        <f t="shared" si="0"/>
        <v>11295A</v>
      </c>
    </row>
    <row r="49" spans="1:7" x14ac:dyDescent="0.25">
      <c r="A49">
        <f>IF(AND(Sheet2!B49=Sheet1!B$19,Sheet2!C49=Sheet1!C$19,Sheet2!D49=Sheet1!D$19),1,0)</f>
        <v>0</v>
      </c>
      <c r="B49" s="10" t="s">
        <v>214</v>
      </c>
      <c r="C49" s="11">
        <v>0.25</v>
      </c>
      <c r="D49" s="22">
        <v>49</v>
      </c>
      <c r="E49" s="22">
        <v>11296</v>
      </c>
      <c r="F49" s="10" t="s">
        <v>74</v>
      </c>
      <c r="G49" s="10" t="str">
        <f t="shared" si="0"/>
        <v>11296A</v>
      </c>
    </row>
    <row r="50" spans="1:7" x14ac:dyDescent="0.25">
      <c r="A50">
        <f>IF(AND(Sheet2!B50=Sheet1!B$19,Sheet2!C50=Sheet1!C$19,Sheet2!D50=Sheet1!D$19),1,0)</f>
        <v>0</v>
      </c>
      <c r="B50" s="10" t="s">
        <v>214</v>
      </c>
      <c r="C50" s="11">
        <v>0.25</v>
      </c>
      <c r="D50" s="22">
        <v>50</v>
      </c>
      <c r="E50" s="22">
        <v>11297</v>
      </c>
      <c r="F50" s="10" t="s">
        <v>74</v>
      </c>
      <c r="G50" s="10" t="str">
        <f t="shared" si="0"/>
        <v>11297A</v>
      </c>
    </row>
    <row r="51" spans="1:7" x14ac:dyDescent="0.25">
      <c r="A51">
        <f>IF(AND(Sheet2!B51=Sheet1!B$19,Sheet2!C51=Sheet1!C$19,Sheet2!D51=Sheet1!D$19),1,0)</f>
        <v>0</v>
      </c>
      <c r="B51" s="10" t="s">
        <v>214</v>
      </c>
      <c r="C51" s="11">
        <v>0.25</v>
      </c>
      <c r="D51" s="22">
        <v>51</v>
      </c>
      <c r="E51" s="22">
        <v>11298</v>
      </c>
      <c r="F51" s="10" t="s">
        <v>74</v>
      </c>
      <c r="G51" s="10" t="str">
        <f t="shared" si="0"/>
        <v>11298A</v>
      </c>
    </row>
    <row r="52" spans="1:7" x14ac:dyDescent="0.25">
      <c r="A52">
        <f>IF(AND(Sheet2!B52=Sheet1!B$19,Sheet2!C52=Sheet1!C$19,Sheet2!D52=Sheet1!D$19),1,0)</f>
        <v>0</v>
      </c>
      <c r="B52" s="10" t="s">
        <v>214</v>
      </c>
      <c r="C52" s="11">
        <v>0.25</v>
      </c>
      <c r="D52" s="22">
        <v>52</v>
      </c>
      <c r="E52" s="22">
        <v>11299</v>
      </c>
      <c r="F52" s="10" t="s">
        <v>74</v>
      </c>
      <c r="G52" s="10" t="str">
        <f t="shared" si="0"/>
        <v>11299A</v>
      </c>
    </row>
    <row r="53" spans="1:7" x14ac:dyDescent="0.25">
      <c r="A53">
        <f>IF(AND(Sheet2!B53=Sheet1!B$19,Sheet2!C53=Sheet1!C$19,Sheet2!D53=Sheet1!D$19),1,0)</f>
        <v>0</v>
      </c>
      <c r="B53" s="10" t="s">
        <v>214</v>
      </c>
      <c r="C53" s="11">
        <v>0.25</v>
      </c>
      <c r="D53" s="22">
        <v>53</v>
      </c>
      <c r="E53" s="22">
        <v>11300</v>
      </c>
      <c r="F53" s="10" t="s">
        <v>74</v>
      </c>
      <c r="G53" s="10" t="str">
        <f t="shared" si="0"/>
        <v>11300A</v>
      </c>
    </row>
    <row r="54" spans="1:7" x14ac:dyDescent="0.25">
      <c r="A54">
        <f>IF(AND(Sheet2!B54=Sheet1!B$19,Sheet2!C54=Sheet1!C$19,Sheet2!D54=Sheet1!D$19),1,0)</f>
        <v>0</v>
      </c>
      <c r="B54" s="10" t="s">
        <v>214</v>
      </c>
      <c r="C54" s="11">
        <v>0.25</v>
      </c>
      <c r="D54" s="22">
        <v>54</v>
      </c>
      <c r="E54" s="22">
        <v>11301</v>
      </c>
      <c r="F54" s="10" t="s">
        <v>74</v>
      </c>
      <c r="G54" s="10" t="str">
        <f t="shared" si="0"/>
        <v>11301A</v>
      </c>
    </row>
    <row r="55" spans="1:7" x14ac:dyDescent="0.25">
      <c r="A55">
        <f>IF(AND(Sheet2!B55=Sheet1!B$19,Sheet2!C55=Sheet1!C$19,Sheet2!D55=Sheet1!D$19),1,0)</f>
        <v>0</v>
      </c>
      <c r="B55" s="10" t="s">
        <v>214</v>
      </c>
      <c r="C55" s="11">
        <v>0.25</v>
      </c>
      <c r="D55" s="22">
        <v>55</v>
      </c>
      <c r="E55" s="22">
        <v>11302</v>
      </c>
      <c r="F55" s="10" t="s">
        <v>74</v>
      </c>
      <c r="G55" s="10" t="str">
        <f t="shared" si="0"/>
        <v>11302A</v>
      </c>
    </row>
    <row r="56" spans="1:7" x14ac:dyDescent="0.25">
      <c r="A56">
        <f>IF(AND(Sheet2!B56=Sheet1!B$19,Sheet2!C56=Sheet1!C$19,Sheet2!D56=Sheet1!D$19),1,0)</f>
        <v>0</v>
      </c>
      <c r="B56" s="10" t="s">
        <v>214</v>
      </c>
      <c r="C56" s="11">
        <v>0.25</v>
      </c>
      <c r="D56" s="22">
        <v>56</v>
      </c>
      <c r="E56" s="22">
        <v>11303</v>
      </c>
      <c r="F56" s="10" t="s">
        <v>74</v>
      </c>
      <c r="G56" s="10" t="str">
        <f t="shared" si="0"/>
        <v>11303A</v>
      </c>
    </row>
    <row r="57" spans="1:7" x14ac:dyDescent="0.25">
      <c r="A57">
        <f>IF(AND(Sheet2!B57=Sheet1!B$19,Sheet2!C57=Sheet1!C$19,Sheet2!D57=Sheet1!D$19),1,0)</f>
        <v>0</v>
      </c>
      <c r="B57" s="10" t="s">
        <v>214</v>
      </c>
      <c r="C57" s="11">
        <v>0.25</v>
      </c>
      <c r="D57" s="22">
        <v>57</v>
      </c>
      <c r="E57" s="22">
        <v>11304</v>
      </c>
      <c r="F57" s="10" t="s">
        <v>74</v>
      </c>
      <c r="G57" s="10" t="str">
        <f t="shared" si="0"/>
        <v>11304A</v>
      </c>
    </row>
    <row r="58" spans="1:7" x14ac:dyDescent="0.25">
      <c r="A58">
        <f>IF(AND(Sheet2!B58=Sheet1!B$19,Sheet2!C58=Sheet1!C$19,Sheet2!D58=Sheet1!D$19),1,0)</f>
        <v>0</v>
      </c>
      <c r="B58" s="10" t="s">
        <v>214</v>
      </c>
      <c r="C58" s="11">
        <v>0.25</v>
      </c>
      <c r="D58" s="22">
        <v>58</v>
      </c>
      <c r="E58" s="22">
        <v>11305</v>
      </c>
      <c r="F58" s="10" t="s">
        <v>74</v>
      </c>
      <c r="G58" s="10" t="str">
        <f t="shared" si="0"/>
        <v>11305A</v>
      </c>
    </row>
    <row r="59" spans="1:7" x14ac:dyDescent="0.25">
      <c r="A59">
        <f>IF(AND(Sheet2!B59=Sheet1!B$19,Sheet2!C59=Sheet1!C$19,Sheet2!D59=Sheet1!D$19),1,0)</f>
        <v>0</v>
      </c>
      <c r="B59" s="10" t="s">
        <v>214</v>
      </c>
      <c r="C59" s="11">
        <v>0.25</v>
      </c>
      <c r="D59" s="22">
        <v>59</v>
      </c>
      <c r="E59" s="22">
        <v>11306</v>
      </c>
      <c r="F59" s="10" t="s">
        <v>74</v>
      </c>
      <c r="G59" s="10" t="str">
        <f t="shared" si="0"/>
        <v>11306A</v>
      </c>
    </row>
    <row r="60" spans="1:7" x14ac:dyDescent="0.25">
      <c r="A60">
        <f>IF(AND(Sheet2!B60=Sheet1!B$19,Sheet2!C60=Sheet1!C$19,Sheet2!D60=Sheet1!D$19),1,0)</f>
        <v>0</v>
      </c>
      <c r="B60" s="10" t="s">
        <v>214</v>
      </c>
      <c r="C60" s="11">
        <v>0.25</v>
      </c>
      <c r="D60" s="22">
        <v>60</v>
      </c>
      <c r="E60" s="22">
        <v>11307</v>
      </c>
      <c r="F60" s="10" t="s">
        <v>74</v>
      </c>
      <c r="G60" s="10" t="str">
        <f t="shared" si="0"/>
        <v>11307A</v>
      </c>
    </row>
    <row r="61" spans="1:7" x14ac:dyDescent="0.25">
      <c r="A61">
        <f>IF(AND(Sheet2!B61=Sheet1!B$19,Sheet2!C61=Sheet1!C$19,Sheet2!D61=Sheet1!D$19),1,0)</f>
        <v>0</v>
      </c>
      <c r="B61" s="10" t="s">
        <v>214</v>
      </c>
      <c r="C61" s="11">
        <v>0.375</v>
      </c>
      <c r="D61" s="22">
        <v>2</v>
      </c>
      <c r="E61" s="22">
        <v>11019</v>
      </c>
      <c r="F61" s="10" t="s">
        <v>74</v>
      </c>
      <c r="G61" s="10" t="str">
        <f t="shared" si="0"/>
        <v>11019A</v>
      </c>
    </row>
    <row r="62" spans="1:7" x14ac:dyDescent="0.25">
      <c r="A62">
        <f>IF(AND(Sheet2!B62=Sheet1!B$19,Sheet2!C62=Sheet1!C$19,Sheet2!D62=Sheet1!D$19),1,0)</f>
        <v>0</v>
      </c>
      <c r="B62" s="10" t="s">
        <v>214</v>
      </c>
      <c r="C62" s="11">
        <v>0.375</v>
      </c>
      <c r="D62" s="22">
        <v>3</v>
      </c>
      <c r="E62" s="22">
        <v>11020</v>
      </c>
      <c r="F62" s="10" t="s">
        <v>74</v>
      </c>
      <c r="G62" s="10" t="str">
        <f t="shared" si="0"/>
        <v>11020A</v>
      </c>
    </row>
    <row r="63" spans="1:7" x14ac:dyDescent="0.25">
      <c r="A63">
        <f>IF(AND(Sheet2!B63=Sheet1!B$19,Sheet2!C63=Sheet1!C$19,Sheet2!D63=Sheet1!D$19),1,0)</f>
        <v>0</v>
      </c>
      <c r="B63" s="10" t="s">
        <v>214</v>
      </c>
      <c r="C63" s="11">
        <v>0.375</v>
      </c>
      <c r="D63" s="22">
        <v>4</v>
      </c>
      <c r="E63" s="22">
        <v>11021</v>
      </c>
      <c r="F63" s="10" t="s">
        <v>74</v>
      </c>
      <c r="G63" s="10" t="str">
        <f t="shared" si="0"/>
        <v>11021A</v>
      </c>
    </row>
    <row r="64" spans="1:7" x14ac:dyDescent="0.25">
      <c r="A64">
        <f>IF(AND(Sheet2!B64=Sheet1!B$19,Sheet2!C64=Sheet1!C$19,Sheet2!D64=Sheet1!D$19),1,0)</f>
        <v>0</v>
      </c>
      <c r="B64" s="10" t="s">
        <v>214</v>
      </c>
      <c r="C64" s="11">
        <v>0.375</v>
      </c>
      <c r="D64" s="22">
        <v>5</v>
      </c>
      <c r="E64" s="22">
        <v>11022</v>
      </c>
      <c r="F64" s="10" t="s">
        <v>74</v>
      </c>
      <c r="G64" s="10" t="str">
        <f t="shared" si="0"/>
        <v>11022A</v>
      </c>
    </row>
    <row r="65" spans="1:7" x14ac:dyDescent="0.25">
      <c r="A65">
        <f>IF(AND(Sheet2!B65=Sheet1!B$19,Sheet2!C65=Sheet1!C$19,Sheet2!D65=Sheet1!D$19),1,0)</f>
        <v>0</v>
      </c>
      <c r="B65" s="10" t="s">
        <v>214</v>
      </c>
      <c r="C65" s="11">
        <v>0.375</v>
      </c>
      <c r="D65" s="22">
        <v>6</v>
      </c>
      <c r="E65" s="22">
        <v>11023</v>
      </c>
      <c r="F65" s="10" t="s">
        <v>74</v>
      </c>
      <c r="G65" s="10" t="str">
        <f t="shared" si="0"/>
        <v>11023A</v>
      </c>
    </row>
    <row r="66" spans="1:7" x14ac:dyDescent="0.25">
      <c r="A66">
        <f>IF(AND(Sheet2!B66=Sheet1!B$19,Sheet2!C66=Sheet1!C$19,Sheet2!D66=Sheet1!D$19),1,0)</f>
        <v>0</v>
      </c>
      <c r="B66" s="10" t="s">
        <v>214</v>
      </c>
      <c r="C66" s="11">
        <v>0.375</v>
      </c>
      <c r="D66" s="22">
        <v>7</v>
      </c>
      <c r="E66" s="22">
        <v>11024</v>
      </c>
      <c r="F66" s="10" t="s">
        <v>74</v>
      </c>
      <c r="G66" s="10" t="str">
        <f t="shared" si="0"/>
        <v>11024A</v>
      </c>
    </row>
    <row r="67" spans="1:7" x14ac:dyDescent="0.25">
      <c r="A67">
        <f>IF(AND(Sheet2!B67=Sheet1!B$19,Sheet2!C67=Sheet1!C$19,Sheet2!D67=Sheet1!D$19),1,0)</f>
        <v>0</v>
      </c>
      <c r="B67" s="10" t="s">
        <v>214</v>
      </c>
      <c r="C67" s="11">
        <v>0.375</v>
      </c>
      <c r="D67" s="22">
        <v>8</v>
      </c>
      <c r="E67" s="22">
        <v>11025</v>
      </c>
      <c r="F67" s="10" t="s">
        <v>74</v>
      </c>
      <c r="G67" s="10" t="str">
        <f t="shared" si="0"/>
        <v>11025A</v>
      </c>
    </row>
    <row r="68" spans="1:7" x14ac:dyDescent="0.25">
      <c r="A68">
        <f>IF(AND(Sheet2!B68=Sheet1!B$19,Sheet2!C68=Sheet1!C$19,Sheet2!D68=Sheet1!D$19),1,0)</f>
        <v>0</v>
      </c>
      <c r="B68" s="10" t="s">
        <v>214</v>
      </c>
      <c r="C68" s="11">
        <v>0.375</v>
      </c>
      <c r="D68" s="22">
        <v>9</v>
      </c>
      <c r="E68" s="22">
        <v>11026</v>
      </c>
      <c r="F68" s="10" t="s">
        <v>74</v>
      </c>
      <c r="G68" s="10" t="str">
        <f t="shared" si="0"/>
        <v>11026A</v>
      </c>
    </row>
    <row r="69" spans="1:7" x14ac:dyDescent="0.25">
      <c r="A69">
        <f>IF(AND(Sheet2!B69=Sheet1!B$19,Sheet2!C69=Sheet1!C$19,Sheet2!D69=Sheet1!D$19),1,0)</f>
        <v>0</v>
      </c>
      <c r="B69" s="10" t="s">
        <v>214</v>
      </c>
      <c r="C69" s="11">
        <v>0.375</v>
      </c>
      <c r="D69" s="22">
        <v>10</v>
      </c>
      <c r="E69" s="22">
        <v>11027</v>
      </c>
      <c r="F69" s="10" t="s">
        <v>74</v>
      </c>
      <c r="G69" s="10" t="str">
        <f t="shared" si="0"/>
        <v>11027A</v>
      </c>
    </row>
    <row r="70" spans="1:7" x14ac:dyDescent="0.25">
      <c r="A70">
        <f>IF(AND(Sheet2!B70=Sheet1!B$19,Sheet2!C70=Sheet1!C$19,Sheet2!D70=Sheet1!D$19),1,0)</f>
        <v>0</v>
      </c>
      <c r="B70" s="10" t="s">
        <v>214</v>
      </c>
      <c r="C70" s="11">
        <v>0.375</v>
      </c>
      <c r="D70" s="22">
        <v>11</v>
      </c>
      <c r="E70" s="22">
        <v>11028</v>
      </c>
      <c r="F70" s="10" t="s">
        <v>74</v>
      </c>
      <c r="G70" s="10" t="str">
        <f t="shared" si="0"/>
        <v>11028A</v>
      </c>
    </row>
    <row r="71" spans="1:7" x14ac:dyDescent="0.25">
      <c r="A71">
        <f>IF(AND(Sheet2!B71=Sheet1!B$19,Sheet2!C71=Sheet1!C$19,Sheet2!D71=Sheet1!D$19),1,0)</f>
        <v>0</v>
      </c>
      <c r="B71" s="10" t="s">
        <v>214</v>
      </c>
      <c r="C71" s="11">
        <v>0.375</v>
      </c>
      <c r="D71" s="22">
        <v>12</v>
      </c>
      <c r="E71" s="22">
        <v>11029</v>
      </c>
      <c r="F71" s="10" t="s">
        <v>74</v>
      </c>
      <c r="G71" s="10" t="str">
        <f t="shared" si="0"/>
        <v>11029A</v>
      </c>
    </row>
    <row r="72" spans="1:7" x14ac:dyDescent="0.25">
      <c r="A72">
        <f>IF(AND(Sheet2!B72=Sheet1!B$19,Sheet2!C72=Sheet1!C$19,Sheet2!D72=Sheet1!D$19),1,0)</f>
        <v>0</v>
      </c>
      <c r="B72" s="10" t="s">
        <v>214</v>
      </c>
      <c r="C72" s="11">
        <v>0.375</v>
      </c>
      <c r="D72" s="22">
        <v>13</v>
      </c>
      <c r="E72" s="22">
        <v>11030</v>
      </c>
      <c r="F72" s="10" t="s">
        <v>74</v>
      </c>
      <c r="G72" s="10" t="str">
        <f t="shared" si="0"/>
        <v>11030A</v>
      </c>
    </row>
    <row r="73" spans="1:7" x14ac:dyDescent="0.25">
      <c r="A73">
        <f>IF(AND(Sheet2!B73=Sheet1!B$19,Sheet2!C73=Sheet1!C$19,Sheet2!D73=Sheet1!D$19),1,0)</f>
        <v>0</v>
      </c>
      <c r="B73" s="10" t="s">
        <v>214</v>
      </c>
      <c r="C73" s="11">
        <v>0.375</v>
      </c>
      <c r="D73" s="22">
        <v>14</v>
      </c>
      <c r="E73" s="22">
        <v>11031</v>
      </c>
      <c r="F73" s="10" t="s">
        <v>74</v>
      </c>
      <c r="G73" s="10" t="str">
        <f t="shared" si="0"/>
        <v>11031A</v>
      </c>
    </row>
    <row r="74" spans="1:7" x14ac:dyDescent="0.25">
      <c r="A74">
        <f>IF(AND(Sheet2!B74=Sheet1!B$19,Sheet2!C74=Sheet1!C$19,Sheet2!D74=Sheet1!D$19),1,0)</f>
        <v>0</v>
      </c>
      <c r="B74" s="10" t="s">
        <v>214</v>
      </c>
      <c r="C74" s="11">
        <v>0.375</v>
      </c>
      <c r="D74" s="22">
        <v>15</v>
      </c>
      <c r="E74" s="22">
        <v>11032</v>
      </c>
      <c r="F74" s="10" t="s">
        <v>74</v>
      </c>
      <c r="G74" s="10" t="str">
        <f t="shared" si="0"/>
        <v>11032A</v>
      </c>
    </row>
    <row r="75" spans="1:7" x14ac:dyDescent="0.25">
      <c r="A75">
        <f>IF(AND(Sheet2!B75=Sheet1!B$19,Sheet2!C75=Sheet1!C$19,Sheet2!D75=Sheet1!D$19),1,0)</f>
        <v>0</v>
      </c>
      <c r="B75" s="10" t="s">
        <v>214</v>
      </c>
      <c r="C75" s="11">
        <v>0.375</v>
      </c>
      <c r="D75" s="22">
        <v>16</v>
      </c>
      <c r="E75" s="22">
        <v>11033</v>
      </c>
      <c r="F75" s="10" t="s">
        <v>74</v>
      </c>
      <c r="G75" s="10" t="str">
        <f t="shared" si="0"/>
        <v>11033A</v>
      </c>
    </row>
    <row r="76" spans="1:7" x14ac:dyDescent="0.25">
      <c r="A76">
        <f>IF(AND(Sheet2!B76=Sheet1!B$19,Sheet2!C76=Sheet1!C$19,Sheet2!D76=Sheet1!D$19),1,0)</f>
        <v>0</v>
      </c>
      <c r="B76" s="10" t="s">
        <v>214</v>
      </c>
      <c r="C76" s="11">
        <v>0.375</v>
      </c>
      <c r="D76" s="22">
        <v>17</v>
      </c>
      <c r="E76" s="22">
        <v>11034</v>
      </c>
      <c r="F76" s="10" t="s">
        <v>74</v>
      </c>
      <c r="G76" s="10" t="str">
        <f t="shared" si="0"/>
        <v>11034A</v>
      </c>
    </row>
    <row r="77" spans="1:7" x14ac:dyDescent="0.25">
      <c r="A77">
        <f>IF(AND(Sheet2!B77=Sheet1!B$19,Sheet2!C77=Sheet1!C$19,Sheet2!D77=Sheet1!D$19),1,0)</f>
        <v>0</v>
      </c>
      <c r="B77" s="10" t="s">
        <v>214</v>
      </c>
      <c r="C77" s="11">
        <v>0.375</v>
      </c>
      <c r="D77" s="22">
        <v>18</v>
      </c>
      <c r="E77" s="22">
        <v>11035</v>
      </c>
      <c r="F77" s="10" t="s">
        <v>74</v>
      </c>
      <c r="G77" s="10" t="str">
        <f t="shared" si="0"/>
        <v>11035A</v>
      </c>
    </row>
    <row r="78" spans="1:7" x14ac:dyDescent="0.25">
      <c r="A78">
        <f>IF(AND(Sheet2!B78=Sheet1!B$19,Sheet2!C78=Sheet1!C$19,Sheet2!D78=Sheet1!D$19),1,0)</f>
        <v>0</v>
      </c>
      <c r="B78" s="10" t="s">
        <v>214</v>
      </c>
      <c r="C78" s="11">
        <v>0.375</v>
      </c>
      <c r="D78" s="22">
        <v>19</v>
      </c>
      <c r="E78" s="22">
        <v>11036</v>
      </c>
      <c r="F78" s="10" t="s">
        <v>74</v>
      </c>
      <c r="G78" s="10" t="str">
        <f t="shared" si="0"/>
        <v>11036A</v>
      </c>
    </row>
    <row r="79" spans="1:7" x14ac:dyDescent="0.25">
      <c r="A79">
        <f>IF(AND(Sheet2!B79=Sheet1!B$19,Sheet2!C79=Sheet1!C$19,Sheet2!D79=Sheet1!D$19),1,0)</f>
        <v>0</v>
      </c>
      <c r="B79" s="10" t="s">
        <v>214</v>
      </c>
      <c r="C79" s="11">
        <v>0.375</v>
      </c>
      <c r="D79" s="22">
        <v>20</v>
      </c>
      <c r="E79" s="22">
        <v>11037</v>
      </c>
      <c r="F79" s="10" t="s">
        <v>74</v>
      </c>
      <c r="G79" s="10" t="str">
        <f t="shared" si="0"/>
        <v>11037A</v>
      </c>
    </row>
    <row r="80" spans="1:7" x14ac:dyDescent="0.25">
      <c r="A80">
        <f>IF(AND(Sheet2!B80=Sheet1!B$19,Sheet2!C80=Sheet1!C$19,Sheet2!D80=Sheet1!D$19),1,0)</f>
        <v>0</v>
      </c>
      <c r="B80" s="10" t="s">
        <v>214</v>
      </c>
      <c r="C80" s="11">
        <v>0.375</v>
      </c>
      <c r="D80" s="22">
        <v>21</v>
      </c>
      <c r="E80" s="22">
        <v>11308</v>
      </c>
      <c r="F80" s="10" t="s">
        <v>74</v>
      </c>
      <c r="G80" s="10" t="str">
        <f t="shared" si="0"/>
        <v>11308A</v>
      </c>
    </row>
    <row r="81" spans="1:7" x14ac:dyDescent="0.25">
      <c r="A81">
        <f>IF(AND(Sheet2!B81=Sheet1!B$19,Sheet2!C81=Sheet1!C$19,Sheet2!D81=Sheet1!D$19),1,0)</f>
        <v>0</v>
      </c>
      <c r="B81" s="10" t="s">
        <v>214</v>
      </c>
      <c r="C81" s="11">
        <v>0.375</v>
      </c>
      <c r="D81" s="22">
        <v>22</v>
      </c>
      <c r="E81" s="22">
        <v>11309</v>
      </c>
      <c r="F81" s="10" t="s">
        <v>74</v>
      </c>
      <c r="G81" s="10" t="str">
        <f t="shared" si="0"/>
        <v>11309A</v>
      </c>
    </row>
    <row r="82" spans="1:7" x14ac:dyDescent="0.25">
      <c r="A82">
        <f>IF(AND(Sheet2!B82=Sheet1!B$19,Sheet2!C82=Sheet1!C$19,Sheet2!D82=Sheet1!D$19),1,0)</f>
        <v>0</v>
      </c>
      <c r="B82" s="10" t="s">
        <v>214</v>
      </c>
      <c r="C82" s="11">
        <v>0.375</v>
      </c>
      <c r="D82" s="22">
        <v>23</v>
      </c>
      <c r="E82" s="22">
        <v>11310</v>
      </c>
      <c r="F82" s="10" t="s">
        <v>74</v>
      </c>
      <c r="G82" s="10" t="str">
        <f t="shared" si="0"/>
        <v>11310A</v>
      </c>
    </row>
    <row r="83" spans="1:7" x14ac:dyDescent="0.25">
      <c r="A83">
        <f>IF(AND(Sheet2!B83=Sheet1!B$19,Sheet2!C83=Sheet1!C$19,Sheet2!D83=Sheet1!D$19),1,0)</f>
        <v>0</v>
      </c>
      <c r="B83" s="10" t="s">
        <v>214</v>
      </c>
      <c r="C83" s="11">
        <v>0.375</v>
      </c>
      <c r="D83" s="22">
        <v>24</v>
      </c>
      <c r="E83" s="22">
        <v>11311</v>
      </c>
      <c r="F83" s="10" t="s">
        <v>74</v>
      </c>
      <c r="G83" s="10" t="str">
        <f t="shared" si="0"/>
        <v>11311A</v>
      </c>
    </row>
    <row r="84" spans="1:7" x14ac:dyDescent="0.25">
      <c r="A84">
        <f>IF(AND(Sheet2!B84=Sheet1!B$19,Sheet2!C84=Sheet1!C$19,Sheet2!D84=Sheet1!D$19),1,0)</f>
        <v>0</v>
      </c>
      <c r="B84" s="10" t="s">
        <v>214</v>
      </c>
      <c r="C84" s="11">
        <v>0.375</v>
      </c>
      <c r="D84" s="22">
        <v>25</v>
      </c>
      <c r="E84" s="22">
        <v>11312</v>
      </c>
      <c r="F84" s="10" t="s">
        <v>74</v>
      </c>
      <c r="G84" s="10" t="str">
        <f t="shared" si="0"/>
        <v>11312A</v>
      </c>
    </row>
    <row r="85" spans="1:7" x14ac:dyDescent="0.25">
      <c r="A85">
        <f>IF(AND(Sheet2!B85=Sheet1!B$19,Sheet2!C85=Sheet1!C$19,Sheet2!D85=Sheet1!D$19),1,0)</f>
        <v>0</v>
      </c>
      <c r="B85" s="10" t="s">
        <v>214</v>
      </c>
      <c r="C85" s="11">
        <v>0.375</v>
      </c>
      <c r="D85" s="22">
        <v>26</v>
      </c>
      <c r="E85" s="22">
        <v>11313</v>
      </c>
      <c r="F85" s="10" t="s">
        <v>74</v>
      </c>
      <c r="G85" s="10" t="str">
        <f t="shared" si="0"/>
        <v>11313A</v>
      </c>
    </row>
    <row r="86" spans="1:7" x14ac:dyDescent="0.25">
      <c r="A86">
        <f>IF(AND(Sheet2!B86=Sheet1!B$19,Sheet2!C86=Sheet1!C$19,Sheet2!D86=Sheet1!D$19),1,0)</f>
        <v>0</v>
      </c>
      <c r="B86" s="10" t="s">
        <v>214</v>
      </c>
      <c r="C86" s="11">
        <v>0.375</v>
      </c>
      <c r="D86" s="22">
        <v>27</v>
      </c>
      <c r="E86" s="22">
        <v>11314</v>
      </c>
      <c r="F86" s="10" t="s">
        <v>74</v>
      </c>
      <c r="G86" s="10" t="str">
        <f t="shared" si="0"/>
        <v>11314A</v>
      </c>
    </row>
    <row r="87" spans="1:7" x14ac:dyDescent="0.25">
      <c r="A87">
        <f>IF(AND(Sheet2!B87=Sheet1!B$19,Sheet2!C87=Sheet1!C$19,Sheet2!D87=Sheet1!D$19),1,0)</f>
        <v>0</v>
      </c>
      <c r="B87" s="10" t="s">
        <v>214</v>
      </c>
      <c r="C87" s="11">
        <v>0.375</v>
      </c>
      <c r="D87" s="22">
        <v>28</v>
      </c>
      <c r="E87" s="22">
        <v>11315</v>
      </c>
      <c r="F87" s="10" t="s">
        <v>74</v>
      </c>
      <c r="G87" s="10" t="str">
        <f t="shared" si="0"/>
        <v>11315A</v>
      </c>
    </row>
    <row r="88" spans="1:7" x14ac:dyDescent="0.25">
      <c r="A88">
        <f>IF(AND(Sheet2!B88=Sheet1!B$19,Sheet2!C88=Sheet1!C$19,Sheet2!D88=Sheet1!D$19),1,0)</f>
        <v>0</v>
      </c>
      <c r="B88" s="10" t="s">
        <v>214</v>
      </c>
      <c r="C88" s="11">
        <v>0.375</v>
      </c>
      <c r="D88" s="22">
        <v>29</v>
      </c>
      <c r="E88" s="22">
        <v>11316</v>
      </c>
      <c r="F88" s="10" t="s">
        <v>74</v>
      </c>
      <c r="G88" s="10" t="str">
        <f t="shared" si="0"/>
        <v>11316A</v>
      </c>
    </row>
    <row r="89" spans="1:7" x14ac:dyDescent="0.25">
      <c r="A89">
        <f>IF(AND(Sheet2!B89=Sheet1!B$19,Sheet2!C89=Sheet1!C$19,Sheet2!D89=Sheet1!D$19),1,0)</f>
        <v>0</v>
      </c>
      <c r="B89" s="10" t="s">
        <v>214</v>
      </c>
      <c r="C89" s="11">
        <v>0.375</v>
      </c>
      <c r="D89" s="22">
        <v>30</v>
      </c>
      <c r="E89" s="22">
        <v>11317</v>
      </c>
      <c r="F89" s="10" t="s">
        <v>74</v>
      </c>
      <c r="G89" s="10" t="str">
        <f t="shared" si="0"/>
        <v>11317A</v>
      </c>
    </row>
    <row r="90" spans="1:7" x14ac:dyDescent="0.25">
      <c r="A90">
        <f>IF(AND(Sheet2!B90=Sheet1!B$19,Sheet2!C90=Sheet1!C$19,Sheet2!D90=Sheet1!D$19),1,0)</f>
        <v>0</v>
      </c>
      <c r="B90" s="10" t="s">
        <v>214</v>
      </c>
      <c r="C90" s="11">
        <v>0.375</v>
      </c>
      <c r="D90" s="22">
        <v>31</v>
      </c>
      <c r="E90" s="22">
        <v>11318</v>
      </c>
      <c r="F90" s="10" t="s">
        <v>74</v>
      </c>
      <c r="G90" s="10" t="str">
        <f t="shared" si="0"/>
        <v>11318A</v>
      </c>
    </row>
    <row r="91" spans="1:7" x14ac:dyDescent="0.25">
      <c r="A91">
        <f>IF(AND(Sheet2!B91=Sheet1!B$19,Sheet2!C91=Sheet1!C$19,Sheet2!D91=Sheet1!D$19),1,0)</f>
        <v>0</v>
      </c>
      <c r="B91" s="10" t="s">
        <v>214</v>
      </c>
      <c r="C91" s="11">
        <v>0.375</v>
      </c>
      <c r="D91" s="22">
        <v>32</v>
      </c>
      <c r="E91" s="22">
        <v>11319</v>
      </c>
      <c r="F91" s="10" t="s">
        <v>74</v>
      </c>
      <c r="G91" s="10" t="str">
        <f t="shared" si="0"/>
        <v>11319A</v>
      </c>
    </row>
    <row r="92" spans="1:7" x14ac:dyDescent="0.25">
      <c r="A92">
        <f>IF(AND(Sheet2!B92=Sheet1!B$19,Sheet2!C92=Sheet1!C$19,Sheet2!D92=Sheet1!D$19),1,0)</f>
        <v>0</v>
      </c>
      <c r="B92" s="10" t="s">
        <v>214</v>
      </c>
      <c r="C92" s="11">
        <v>0.375</v>
      </c>
      <c r="D92" s="22">
        <v>33</v>
      </c>
      <c r="E92" s="22">
        <v>11320</v>
      </c>
      <c r="F92" s="10" t="s">
        <v>74</v>
      </c>
      <c r="G92" s="10" t="str">
        <f t="shared" si="0"/>
        <v>11320A</v>
      </c>
    </row>
    <row r="93" spans="1:7" x14ac:dyDescent="0.25">
      <c r="A93">
        <f>IF(AND(Sheet2!B93=Sheet1!B$19,Sheet2!C93=Sheet1!C$19,Sheet2!D93=Sheet1!D$19),1,0)</f>
        <v>0</v>
      </c>
      <c r="B93" s="10" t="s">
        <v>214</v>
      </c>
      <c r="C93" s="11">
        <v>0.375</v>
      </c>
      <c r="D93" s="22">
        <v>34</v>
      </c>
      <c r="E93" s="22">
        <v>11321</v>
      </c>
      <c r="F93" s="10" t="s">
        <v>74</v>
      </c>
      <c r="G93" s="10" t="str">
        <f t="shared" si="0"/>
        <v>11321A</v>
      </c>
    </row>
    <row r="94" spans="1:7" x14ac:dyDescent="0.25">
      <c r="A94">
        <f>IF(AND(Sheet2!B94=Sheet1!B$19,Sheet2!C94=Sheet1!C$19,Sheet2!D94=Sheet1!D$19),1,0)</f>
        <v>0</v>
      </c>
      <c r="B94" s="10" t="s">
        <v>214</v>
      </c>
      <c r="C94" s="11">
        <v>0.375</v>
      </c>
      <c r="D94" s="22">
        <v>35</v>
      </c>
      <c r="E94" s="22">
        <v>11322</v>
      </c>
      <c r="F94" s="10" t="s">
        <v>74</v>
      </c>
      <c r="G94" s="10" t="str">
        <f t="shared" si="0"/>
        <v>11322A</v>
      </c>
    </row>
    <row r="95" spans="1:7" x14ac:dyDescent="0.25">
      <c r="A95">
        <f>IF(AND(Sheet2!B95=Sheet1!B$19,Sheet2!C95=Sheet1!C$19,Sheet2!D95=Sheet1!D$19),1,0)</f>
        <v>0</v>
      </c>
      <c r="B95" s="10" t="s">
        <v>214</v>
      </c>
      <c r="C95" s="11">
        <v>0.375</v>
      </c>
      <c r="D95" s="22">
        <v>36</v>
      </c>
      <c r="E95" s="22">
        <v>11323</v>
      </c>
      <c r="F95" s="10" t="s">
        <v>74</v>
      </c>
      <c r="G95" s="10" t="str">
        <f t="shared" si="0"/>
        <v>11323A</v>
      </c>
    </row>
    <row r="96" spans="1:7" x14ac:dyDescent="0.25">
      <c r="A96">
        <f>IF(AND(Sheet2!B96=Sheet1!B$19,Sheet2!C96=Sheet1!C$19,Sheet2!D96=Sheet1!D$19),1,0)</f>
        <v>0</v>
      </c>
      <c r="B96" s="10" t="s">
        <v>214</v>
      </c>
      <c r="C96" s="11">
        <v>0.375</v>
      </c>
      <c r="D96" s="22">
        <v>37</v>
      </c>
      <c r="E96" s="22">
        <v>11324</v>
      </c>
      <c r="F96" s="10" t="s">
        <v>74</v>
      </c>
      <c r="G96" s="10" t="str">
        <f t="shared" si="0"/>
        <v>11324A</v>
      </c>
    </row>
    <row r="97" spans="1:7" x14ac:dyDescent="0.25">
      <c r="A97">
        <f>IF(AND(Sheet2!B97=Sheet1!B$19,Sheet2!C97=Sheet1!C$19,Sheet2!D97=Sheet1!D$19),1,0)</f>
        <v>0</v>
      </c>
      <c r="B97" s="10" t="s">
        <v>214</v>
      </c>
      <c r="C97" s="11">
        <v>0.375</v>
      </c>
      <c r="D97" s="22">
        <v>38</v>
      </c>
      <c r="E97" s="22">
        <v>11325</v>
      </c>
      <c r="F97" s="10" t="s">
        <v>74</v>
      </c>
      <c r="G97" s="10" t="str">
        <f t="shared" si="0"/>
        <v>11325A</v>
      </c>
    </row>
    <row r="98" spans="1:7" x14ac:dyDescent="0.25">
      <c r="A98">
        <f>IF(AND(Sheet2!B98=Sheet1!B$19,Sheet2!C98=Sheet1!C$19,Sheet2!D98=Sheet1!D$19),1,0)</f>
        <v>0</v>
      </c>
      <c r="B98" s="10" t="s">
        <v>214</v>
      </c>
      <c r="C98" s="11">
        <v>0.375</v>
      </c>
      <c r="D98" s="22">
        <v>39</v>
      </c>
      <c r="E98" s="22">
        <v>11326</v>
      </c>
      <c r="F98" s="10" t="s">
        <v>74</v>
      </c>
      <c r="G98" s="10" t="str">
        <f t="shared" si="0"/>
        <v>11326A</v>
      </c>
    </row>
    <row r="99" spans="1:7" x14ac:dyDescent="0.25">
      <c r="A99">
        <f>IF(AND(Sheet2!B99=Sheet1!B$19,Sheet2!C99=Sheet1!C$19,Sheet2!D99=Sheet1!D$19),1,0)</f>
        <v>0</v>
      </c>
      <c r="B99" s="10" t="s">
        <v>214</v>
      </c>
      <c r="C99" s="11">
        <v>0.375</v>
      </c>
      <c r="D99" s="22">
        <v>40</v>
      </c>
      <c r="E99" s="22">
        <v>11327</v>
      </c>
      <c r="F99" s="10" t="s">
        <v>74</v>
      </c>
      <c r="G99" s="10" t="str">
        <f t="shared" si="0"/>
        <v>11327A</v>
      </c>
    </row>
    <row r="100" spans="1:7" x14ac:dyDescent="0.25">
      <c r="A100">
        <f>IF(AND(Sheet2!B100=Sheet1!B$19,Sheet2!C100=Sheet1!C$19,Sheet2!D100=Sheet1!D$19),1,0)</f>
        <v>0</v>
      </c>
      <c r="B100" s="10" t="s">
        <v>214</v>
      </c>
      <c r="C100" s="11">
        <v>0.375</v>
      </c>
      <c r="D100" s="22">
        <v>41</v>
      </c>
      <c r="E100" s="22">
        <v>11328</v>
      </c>
      <c r="F100" s="10" t="s">
        <v>74</v>
      </c>
      <c r="G100" s="10" t="str">
        <f t="shared" si="0"/>
        <v>11328A</v>
      </c>
    </row>
    <row r="101" spans="1:7" x14ac:dyDescent="0.25">
      <c r="A101">
        <f>IF(AND(Sheet2!B101=Sheet1!B$19,Sheet2!C101=Sheet1!C$19,Sheet2!D101=Sheet1!D$19),1,0)</f>
        <v>0</v>
      </c>
      <c r="B101" s="10" t="s">
        <v>214</v>
      </c>
      <c r="C101" s="11">
        <v>0.375</v>
      </c>
      <c r="D101" s="22">
        <v>42</v>
      </c>
      <c r="E101" s="22">
        <v>11329</v>
      </c>
      <c r="F101" s="10" t="s">
        <v>74</v>
      </c>
      <c r="G101" s="10" t="str">
        <f t="shared" si="0"/>
        <v>11329A</v>
      </c>
    </row>
    <row r="102" spans="1:7" x14ac:dyDescent="0.25">
      <c r="A102">
        <f>IF(AND(Sheet2!B102=Sheet1!B$19,Sheet2!C102=Sheet1!C$19,Sheet2!D102=Sheet1!D$19),1,0)</f>
        <v>0</v>
      </c>
      <c r="B102" s="10" t="s">
        <v>214</v>
      </c>
      <c r="C102" s="11">
        <v>0.375</v>
      </c>
      <c r="D102" s="22">
        <v>43</v>
      </c>
      <c r="E102" s="22">
        <v>11330</v>
      </c>
      <c r="F102" s="10" t="s">
        <v>74</v>
      </c>
      <c r="G102" s="10" t="str">
        <f t="shared" si="0"/>
        <v>11330A</v>
      </c>
    </row>
    <row r="103" spans="1:7" x14ac:dyDescent="0.25">
      <c r="A103">
        <f>IF(AND(Sheet2!B103=Sheet1!B$19,Sheet2!C103=Sheet1!C$19,Sheet2!D103=Sheet1!D$19),1,0)</f>
        <v>0</v>
      </c>
      <c r="B103" s="10" t="s">
        <v>214</v>
      </c>
      <c r="C103" s="11">
        <v>0.375</v>
      </c>
      <c r="D103" s="22">
        <v>44</v>
      </c>
      <c r="E103" s="22">
        <v>11331</v>
      </c>
      <c r="F103" s="10" t="s">
        <v>74</v>
      </c>
      <c r="G103" s="10" t="str">
        <f t="shared" si="0"/>
        <v>11331A</v>
      </c>
    </row>
    <row r="104" spans="1:7" x14ac:dyDescent="0.25">
      <c r="A104">
        <f>IF(AND(Sheet2!B104=Sheet1!B$19,Sheet2!C104=Sheet1!C$19,Sheet2!D104=Sheet1!D$19),1,0)</f>
        <v>0</v>
      </c>
      <c r="B104" s="10" t="s">
        <v>214</v>
      </c>
      <c r="C104" s="11">
        <v>0.375</v>
      </c>
      <c r="D104" s="22">
        <v>45</v>
      </c>
      <c r="E104" s="22">
        <v>11332</v>
      </c>
      <c r="F104" s="10" t="s">
        <v>74</v>
      </c>
      <c r="G104" s="10" t="str">
        <f t="shared" si="0"/>
        <v>11332A</v>
      </c>
    </row>
    <row r="105" spans="1:7" x14ac:dyDescent="0.25">
      <c r="A105">
        <f>IF(AND(Sheet2!B105=Sheet1!B$19,Sheet2!C105=Sheet1!C$19,Sheet2!D105=Sheet1!D$19),1,0)</f>
        <v>0</v>
      </c>
      <c r="B105" s="10" t="s">
        <v>214</v>
      </c>
      <c r="C105" s="11">
        <v>0.375</v>
      </c>
      <c r="D105" s="22">
        <v>46</v>
      </c>
      <c r="E105" s="22">
        <v>11333</v>
      </c>
      <c r="F105" s="10" t="s">
        <v>74</v>
      </c>
      <c r="G105" s="10" t="str">
        <f t="shared" si="0"/>
        <v>11333A</v>
      </c>
    </row>
    <row r="106" spans="1:7" x14ac:dyDescent="0.25">
      <c r="A106">
        <f>IF(AND(Sheet2!B106=Sheet1!B$19,Sheet2!C106=Sheet1!C$19,Sheet2!D106=Sheet1!D$19),1,0)</f>
        <v>0</v>
      </c>
      <c r="B106" s="10" t="s">
        <v>214</v>
      </c>
      <c r="C106" s="11">
        <v>0.375</v>
      </c>
      <c r="D106" s="22">
        <v>47</v>
      </c>
      <c r="E106" s="22">
        <v>11334</v>
      </c>
      <c r="F106" s="10" t="s">
        <v>74</v>
      </c>
      <c r="G106" s="10" t="str">
        <f t="shared" si="0"/>
        <v>11334A</v>
      </c>
    </row>
    <row r="107" spans="1:7" x14ac:dyDescent="0.25">
      <c r="A107">
        <f>IF(AND(Sheet2!B107=Sheet1!B$19,Sheet2!C107=Sheet1!C$19,Sheet2!D107=Sheet1!D$19),1,0)</f>
        <v>0</v>
      </c>
      <c r="B107" s="10" t="s">
        <v>214</v>
      </c>
      <c r="C107" s="11">
        <v>0.375</v>
      </c>
      <c r="D107" s="22">
        <v>48</v>
      </c>
      <c r="E107" s="22">
        <v>11335</v>
      </c>
      <c r="F107" s="10" t="s">
        <v>74</v>
      </c>
      <c r="G107" s="10" t="str">
        <f t="shared" si="0"/>
        <v>11335A</v>
      </c>
    </row>
    <row r="108" spans="1:7" x14ac:dyDescent="0.25">
      <c r="A108">
        <f>IF(AND(Sheet2!B108=Sheet1!B$19,Sheet2!C108=Sheet1!C$19,Sheet2!D108=Sheet1!D$19),1,0)</f>
        <v>0</v>
      </c>
      <c r="B108" s="10" t="s">
        <v>214</v>
      </c>
      <c r="C108" s="11">
        <v>0.375</v>
      </c>
      <c r="D108" s="22">
        <v>49</v>
      </c>
      <c r="E108" s="22">
        <v>11336</v>
      </c>
      <c r="F108" s="10" t="s">
        <v>74</v>
      </c>
      <c r="G108" s="10" t="str">
        <f t="shared" si="0"/>
        <v>11336A</v>
      </c>
    </row>
    <row r="109" spans="1:7" x14ac:dyDescent="0.25">
      <c r="A109">
        <f>IF(AND(Sheet2!B109=Sheet1!B$19,Sheet2!C109=Sheet1!C$19,Sheet2!D109=Sheet1!D$19),1,0)</f>
        <v>0</v>
      </c>
      <c r="B109" s="10" t="s">
        <v>214</v>
      </c>
      <c r="C109" s="11">
        <v>0.375</v>
      </c>
      <c r="D109" s="22">
        <v>50</v>
      </c>
      <c r="E109" s="22">
        <v>11337</v>
      </c>
      <c r="F109" s="10" t="s">
        <v>74</v>
      </c>
      <c r="G109" s="10" t="str">
        <f t="shared" si="0"/>
        <v>11337A</v>
      </c>
    </row>
    <row r="110" spans="1:7" x14ac:dyDescent="0.25">
      <c r="A110">
        <f>IF(AND(Sheet2!B110=Sheet1!B$19,Sheet2!C110=Sheet1!C$19,Sheet2!D110=Sheet1!D$19),1,0)</f>
        <v>0</v>
      </c>
      <c r="B110" s="10" t="s">
        <v>214</v>
      </c>
      <c r="C110" s="11">
        <v>0.375</v>
      </c>
      <c r="D110" s="22">
        <v>51</v>
      </c>
      <c r="E110" s="22">
        <v>11338</v>
      </c>
      <c r="F110" s="10" t="s">
        <v>74</v>
      </c>
      <c r="G110" s="10" t="str">
        <f t="shared" si="0"/>
        <v>11338A</v>
      </c>
    </row>
    <row r="111" spans="1:7" x14ac:dyDescent="0.25">
      <c r="A111">
        <f>IF(AND(Sheet2!B111=Sheet1!B$19,Sheet2!C111=Sheet1!C$19,Sheet2!D111=Sheet1!D$19),1,0)</f>
        <v>0</v>
      </c>
      <c r="B111" s="10" t="s">
        <v>214</v>
      </c>
      <c r="C111" s="11">
        <v>0.375</v>
      </c>
      <c r="D111" s="22">
        <v>52</v>
      </c>
      <c r="E111" s="22">
        <v>11339</v>
      </c>
      <c r="F111" s="10" t="s">
        <v>74</v>
      </c>
      <c r="G111" s="10" t="str">
        <f t="shared" si="0"/>
        <v>11339A</v>
      </c>
    </row>
    <row r="112" spans="1:7" x14ac:dyDescent="0.25">
      <c r="A112">
        <f>IF(AND(Sheet2!B112=Sheet1!B$19,Sheet2!C112=Sheet1!C$19,Sheet2!D112=Sheet1!D$19),1,0)</f>
        <v>0</v>
      </c>
      <c r="B112" s="10" t="s">
        <v>214</v>
      </c>
      <c r="C112" s="11">
        <v>0.375</v>
      </c>
      <c r="D112" s="22">
        <v>53</v>
      </c>
      <c r="E112" s="22">
        <v>11340</v>
      </c>
      <c r="F112" s="10" t="s">
        <v>74</v>
      </c>
      <c r="G112" s="10" t="str">
        <f t="shared" si="0"/>
        <v>11340A</v>
      </c>
    </row>
    <row r="113" spans="1:7" x14ac:dyDescent="0.25">
      <c r="A113">
        <f>IF(AND(Sheet2!B113=Sheet1!B$19,Sheet2!C113=Sheet1!C$19,Sheet2!D113=Sheet1!D$19),1,0)</f>
        <v>0</v>
      </c>
      <c r="B113" s="10" t="s">
        <v>214</v>
      </c>
      <c r="C113" s="11">
        <v>0.375</v>
      </c>
      <c r="D113" s="22">
        <v>54</v>
      </c>
      <c r="E113" s="22">
        <v>11341</v>
      </c>
      <c r="F113" s="10" t="s">
        <v>74</v>
      </c>
      <c r="G113" s="10" t="str">
        <f t="shared" si="0"/>
        <v>11341A</v>
      </c>
    </row>
    <row r="114" spans="1:7" x14ac:dyDescent="0.25">
      <c r="A114">
        <f>IF(AND(Sheet2!B114=Sheet1!B$19,Sheet2!C114=Sheet1!C$19,Sheet2!D114=Sheet1!D$19),1,0)</f>
        <v>0</v>
      </c>
      <c r="B114" s="10" t="s">
        <v>214</v>
      </c>
      <c r="C114" s="11">
        <v>0.375</v>
      </c>
      <c r="D114" s="22">
        <v>55</v>
      </c>
      <c r="E114" s="22">
        <v>11342</v>
      </c>
      <c r="F114" s="10" t="s">
        <v>74</v>
      </c>
      <c r="G114" s="10" t="str">
        <f t="shared" si="0"/>
        <v>11342A</v>
      </c>
    </row>
    <row r="115" spans="1:7" x14ac:dyDescent="0.25">
      <c r="A115">
        <f>IF(AND(Sheet2!B115=Sheet1!B$19,Sheet2!C115=Sheet1!C$19,Sheet2!D115=Sheet1!D$19),1,0)</f>
        <v>0</v>
      </c>
      <c r="B115" s="10" t="s">
        <v>214</v>
      </c>
      <c r="C115" s="11">
        <v>0.375</v>
      </c>
      <c r="D115" s="22">
        <v>56</v>
      </c>
      <c r="E115" s="22">
        <v>11343</v>
      </c>
      <c r="F115" s="10" t="s">
        <v>74</v>
      </c>
      <c r="G115" s="10" t="str">
        <f t="shared" si="0"/>
        <v>11343A</v>
      </c>
    </row>
    <row r="116" spans="1:7" x14ac:dyDescent="0.25">
      <c r="A116">
        <f>IF(AND(Sheet2!B116=Sheet1!B$19,Sheet2!C116=Sheet1!C$19,Sheet2!D116=Sheet1!D$19),1,0)</f>
        <v>0</v>
      </c>
      <c r="B116" s="10" t="s">
        <v>214</v>
      </c>
      <c r="C116" s="11">
        <v>0.375</v>
      </c>
      <c r="D116" s="22">
        <v>57</v>
      </c>
      <c r="E116" s="22">
        <v>11344</v>
      </c>
      <c r="F116" s="10" t="s">
        <v>74</v>
      </c>
      <c r="G116" s="10" t="str">
        <f t="shared" si="0"/>
        <v>11344A</v>
      </c>
    </row>
    <row r="117" spans="1:7" x14ac:dyDescent="0.25">
      <c r="A117">
        <f>IF(AND(Sheet2!B117=Sheet1!B$19,Sheet2!C117=Sheet1!C$19,Sheet2!D117=Sheet1!D$19),1,0)</f>
        <v>0</v>
      </c>
      <c r="B117" s="10" t="s">
        <v>214</v>
      </c>
      <c r="C117" s="11">
        <v>0.375</v>
      </c>
      <c r="D117" s="22">
        <v>58</v>
      </c>
      <c r="E117" s="22">
        <v>11345</v>
      </c>
      <c r="F117" s="10" t="s">
        <v>74</v>
      </c>
      <c r="G117" s="10" t="str">
        <f t="shared" si="0"/>
        <v>11345A</v>
      </c>
    </row>
    <row r="118" spans="1:7" x14ac:dyDescent="0.25">
      <c r="A118">
        <f>IF(AND(Sheet2!B118=Sheet1!B$19,Sheet2!C118=Sheet1!C$19,Sheet2!D118=Sheet1!D$19),1,0)</f>
        <v>0</v>
      </c>
      <c r="B118" s="10" t="s">
        <v>214</v>
      </c>
      <c r="C118" s="11">
        <v>0.375</v>
      </c>
      <c r="D118" s="22">
        <v>59</v>
      </c>
      <c r="E118" s="22">
        <v>11346</v>
      </c>
      <c r="F118" s="10" t="s">
        <v>74</v>
      </c>
      <c r="G118" s="10" t="str">
        <f t="shared" si="0"/>
        <v>11346A</v>
      </c>
    </row>
    <row r="119" spans="1:7" x14ac:dyDescent="0.25">
      <c r="A119">
        <f>IF(AND(Sheet2!B119=Sheet1!B$19,Sheet2!C119=Sheet1!C$19,Sheet2!D119=Sheet1!D$19),1,0)</f>
        <v>0</v>
      </c>
      <c r="B119" s="10" t="s">
        <v>214</v>
      </c>
      <c r="C119" s="11">
        <v>0.375</v>
      </c>
      <c r="D119" s="22">
        <v>60</v>
      </c>
      <c r="E119" s="22">
        <v>11347</v>
      </c>
      <c r="F119" s="10" t="s">
        <v>74</v>
      </c>
      <c r="G119" s="10" t="str">
        <f t="shared" si="0"/>
        <v>11347A</v>
      </c>
    </row>
    <row r="120" spans="1:7" x14ac:dyDescent="0.25">
      <c r="A120">
        <f>IF(AND(Sheet2!B120=Sheet1!B$19,Sheet2!C120=Sheet1!C$19,Sheet2!D120=Sheet1!D$19),1,0)</f>
        <v>0</v>
      </c>
      <c r="B120" s="10" t="s">
        <v>214</v>
      </c>
      <c r="C120" s="11">
        <v>0.5</v>
      </c>
      <c r="D120" s="22">
        <v>2</v>
      </c>
      <c r="E120" s="22">
        <v>11038</v>
      </c>
      <c r="F120" s="10" t="s">
        <v>76</v>
      </c>
      <c r="G120" s="10" t="str">
        <f t="shared" si="0"/>
        <v>11038B</v>
      </c>
    </row>
    <row r="121" spans="1:7" x14ac:dyDescent="0.25">
      <c r="A121">
        <f>IF(AND(Sheet2!B121=Sheet1!B$19,Sheet2!C121=Sheet1!C$19,Sheet2!D121=Sheet1!D$19),1,0)</f>
        <v>0</v>
      </c>
      <c r="B121" s="10" t="s">
        <v>214</v>
      </c>
      <c r="C121" s="11">
        <v>0.5</v>
      </c>
      <c r="D121" s="22">
        <v>3</v>
      </c>
      <c r="E121" s="22">
        <v>11039</v>
      </c>
      <c r="F121" s="10" t="s">
        <v>76</v>
      </c>
      <c r="G121" s="10" t="str">
        <f t="shared" si="0"/>
        <v>11039B</v>
      </c>
    </row>
    <row r="122" spans="1:7" x14ac:dyDescent="0.25">
      <c r="A122">
        <f>IF(AND(Sheet2!B122=Sheet1!B$19,Sheet2!C122=Sheet1!C$19,Sheet2!D122=Sheet1!D$19),1,0)</f>
        <v>0</v>
      </c>
      <c r="B122" s="10" t="s">
        <v>214</v>
      </c>
      <c r="C122" s="11">
        <v>0.5</v>
      </c>
      <c r="D122" s="22">
        <v>4</v>
      </c>
      <c r="E122" s="22">
        <v>11040</v>
      </c>
      <c r="F122" s="10" t="s">
        <v>76</v>
      </c>
      <c r="G122" s="10" t="str">
        <f t="shared" si="0"/>
        <v>11040B</v>
      </c>
    </row>
    <row r="123" spans="1:7" x14ac:dyDescent="0.25">
      <c r="A123">
        <f>IF(AND(Sheet2!B123=Sheet1!B$19,Sheet2!C123=Sheet1!C$19,Sheet2!D123=Sheet1!D$19),1,0)</f>
        <v>0</v>
      </c>
      <c r="B123" s="10" t="s">
        <v>214</v>
      </c>
      <c r="C123" s="11">
        <v>0.5</v>
      </c>
      <c r="D123" s="22">
        <v>5</v>
      </c>
      <c r="E123" s="22">
        <v>11041</v>
      </c>
      <c r="F123" s="10" t="s">
        <v>76</v>
      </c>
      <c r="G123" s="10" t="str">
        <f t="shared" si="0"/>
        <v>11041B</v>
      </c>
    </row>
    <row r="124" spans="1:7" x14ac:dyDescent="0.25">
      <c r="A124">
        <f>IF(AND(Sheet2!B124=Sheet1!B$19,Sheet2!C124=Sheet1!C$19,Sheet2!D124=Sheet1!D$19),1,0)</f>
        <v>0</v>
      </c>
      <c r="B124" s="10" t="s">
        <v>214</v>
      </c>
      <c r="C124" s="11">
        <v>0.5</v>
      </c>
      <c r="D124" s="22">
        <v>6</v>
      </c>
      <c r="E124" s="22">
        <v>11042</v>
      </c>
      <c r="F124" s="10" t="s">
        <v>76</v>
      </c>
      <c r="G124" s="10" t="str">
        <f t="shared" si="0"/>
        <v>11042B</v>
      </c>
    </row>
    <row r="125" spans="1:7" x14ac:dyDescent="0.25">
      <c r="A125">
        <f>IF(AND(Sheet2!B125=Sheet1!B$19,Sheet2!C125=Sheet1!C$19,Sheet2!D125=Sheet1!D$19),1,0)</f>
        <v>0</v>
      </c>
      <c r="B125" s="10" t="s">
        <v>214</v>
      </c>
      <c r="C125" s="11">
        <v>0.5</v>
      </c>
      <c r="D125" s="22">
        <v>7</v>
      </c>
      <c r="E125" s="22">
        <v>11043</v>
      </c>
      <c r="F125" s="10" t="s">
        <v>76</v>
      </c>
      <c r="G125" s="10" t="str">
        <f t="shared" si="0"/>
        <v>11043B</v>
      </c>
    </row>
    <row r="126" spans="1:7" x14ac:dyDescent="0.25">
      <c r="A126">
        <f>IF(AND(Sheet2!B126=Sheet1!B$19,Sheet2!C126=Sheet1!C$19,Sheet2!D126=Sheet1!D$19),1,0)</f>
        <v>0</v>
      </c>
      <c r="B126" s="10" t="s">
        <v>214</v>
      </c>
      <c r="C126" s="11">
        <v>0.5</v>
      </c>
      <c r="D126" s="22">
        <v>8</v>
      </c>
      <c r="E126" s="22">
        <v>11044</v>
      </c>
      <c r="F126" s="10" t="s">
        <v>76</v>
      </c>
      <c r="G126" s="10" t="str">
        <f t="shared" si="0"/>
        <v>11044B</v>
      </c>
    </row>
    <row r="127" spans="1:7" x14ac:dyDescent="0.25">
      <c r="A127">
        <f>IF(AND(Sheet2!B127=Sheet1!B$19,Sheet2!C127=Sheet1!C$19,Sheet2!D127=Sheet1!D$19),1,0)</f>
        <v>0</v>
      </c>
      <c r="B127" s="10" t="s">
        <v>214</v>
      </c>
      <c r="C127" s="11">
        <v>0.5</v>
      </c>
      <c r="D127" s="22">
        <v>9</v>
      </c>
      <c r="E127" s="22">
        <v>11045</v>
      </c>
      <c r="F127" s="10" t="s">
        <v>76</v>
      </c>
      <c r="G127" s="10" t="str">
        <f t="shared" si="0"/>
        <v>11045B</v>
      </c>
    </row>
    <row r="128" spans="1:7" x14ac:dyDescent="0.25">
      <c r="A128">
        <f>IF(AND(Sheet2!B128=Sheet1!B$19,Sheet2!C128=Sheet1!C$19,Sheet2!D128=Sheet1!D$19),1,0)</f>
        <v>0</v>
      </c>
      <c r="B128" s="10" t="s">
        <v>214</v>
      </c>
      <c r="C128" s="11">
        <v>0.5</v>
      </c>
      <c r="D128" s="22">
        <v>10</v>
      </c>
      <c r="E128" s="22">
        <v>11046</v>
      </c>
      <c r="F128" s="10" t="s">
        <v>76</v>
      </c>
      <c r="G128" s="10" t="str">
        <f t="shared" si="0"/>
        <v>11046B</v>
      </c>
    </row>
    <row r="129" spans="1:7" x14ac:dyDescent="0.25">
      <c r="A129">
        <f>IF(AND(Sheet2!B129=Sheet1!B$19,Sheet2!C129=Sheet1!C$19,Sheet2!D129=Sheet1!D$19),1,0)</f>
        <v>0</v>
      </c>
      <c r="B129" s="10" t="s">
        <v>214</v>
      </c>
      <c r="C129" s="11">
        <v>0.5</v>
      </c>
      <c r="D129" s="22">
        <v>11</v>
      </c>
      <c r="E129" s="22">
        <v>11047</v>
      </c>
      <c r="F129" s="10" t="s">
        <v>76</v>
      </c>
      <c r="G129" s="10" t="str">
        <f t="shared" si="0"/>
        <v>11047B</v>
      </c>
    </row>
    <row r="130" spans="1:7" x14ac:dyDescent="0.25">
      <c r="A130">
        <f>IF(AND(Sheet2!B130=Sheet1!B$19,Sheet2!C130=Sheet1!C$19,Sheet2!D130=Sheet1!D$19),1,0)</f>
        <v>0</v>
      </c>
      <c r="B130" s="10" t="s">
        <v>214</v>
      </c>
      <c r="C130" s="11">
        <v>0.5</v>
      </c>
      <c r="D130" s="22">
        <v>12</v>
      </c>
      <c r="E130" s="22">
        <v>11048</v>
      </c>
      <c r="F130" s="10" t="s">
        <v>76</v>
      </c>
      <c r="G130" s="10" t="str">
        <f t="shared" si="0"/>
        <v>11048B</v>
      </c>
    </row>
    <row r="131" spans="1:7" x14ac:dyDescent="0.25">
      <c r="A131">
        <f>IF(AND(Sheet2!B131=Sheet1!B$19,Sheet2!C131=Sheet1!C$19,Sheet2!D131=Sheet1!D$19),1,0)</f>
        <v>0</v>
      </c>
      <c r="B131" s="10" t="s">
        <v>214</v>
      </c>
      <c r="C131" s="11">
        <v>0.5</v>
      </c>
      <c r="D131" s="22">
        <v>13</v>
      </c>
      <c r="E131" s="22">
        <v>11049</v>
      </c>
      <c r="F131" s="10" t="s">
        <v>76</v>
      </c>
      <c r="G131" s="10" t="str">
        <f t="shared" si="0"/>
        <v>11049B</v>
      </c>
    </row>
    <row r="132" spans="1:7" x14ac:dyDescent="0.25">
      <c r="A132">
        <f>IF(AND(Sheet2!B132=Sheet1!B$19,Sheet2!C132=Sheet1!C$19,Sheet2!D132=Sheet1!D$19),1,0)</f>
        <v>0</v>
      </c>
      <c r="B132" s="10" t="s">
        <v>214</v>
      </c>
      <c r="C132" s="11">
        <v>0.5</v>
      </c>
      <c r="D132" s="22">
        <v>14</v>
      </c>
      <c r="E132" s="22">
        <v>11050</v>
      </c>
      <c r="F132" s="10" t="s">
        <v>76</v>
      </c>
      <c r="G132" s="10" t="str">
        <f t="shared" si="0"/>
        <v>11050B</v>
      </c>
    </row>
    <row r="133" spans="1:7" x14ac:dyDescent="0.25">
      <c r="A133">
        <f>IF(AND(Sheet2!B133=Sheet1!B$19,Sheet2!C133=Sheet1!C$19,Sheet2!D133=Sheet1!D$19),1,0)</f>
        <v>0</v>
      </c>
      <c r="B133" s="10" t="s">
        <v>214</v>
      </c>
      <c r="C133" s="11">
        <v>0.5</v>
      </c>
      <c r="D133" s="22">
        <v>15</v>
      </c>
      <c r="E133" s="22">
        <v>11051</v>
      </c>
      <c r="F133" s="10" t="s">
        <v>76</v>
      </c>
      <c r="G133" s="10" t="str">
        <f t="shared" si="0"/>
        <v>11051B</v>
      </c>
    </row>
    <row r="134" spans="1:7" x14ac:dyDescent="0.25">
      <c r="A134">
        <f>IF(AND(Sheet2!B134=Sheet1!B$19,Sheet2!C134=Sheet1!C$19,Sheet2!D134=Sheet1!D$19),1,0)</f>
        <v>0</v>
      </c>
      <c r="B134" s="10" t="s">
        <v>214</v>
      </c>
      <c r="C134" s="11">
        <v>0.5</v>
      </c>
      <c r="D134" s="22">
        <v>16</v>
      </c>
      <c r="E134" s="22">
        <v>11052</v>
      </c>
      <c r="F134" s="10" t="s">
        <v>76</v>
      </c>
      <c r="G134" s="10" t="str">
        <f t="shared" si="0"/>
        <v>11052B</v>
      </c>
    </row>
    <row r="135" spans="1:7" x14ac:dyDescent="0.25">
      <c r="A135">
        <f>IF(AND(Sheet2!B135=Sheet1!B$19,Sheet2!C135=Sheet1!C$19,Sheet2!D135=Sheet1!D$19),1,0)</f>
        <v>0</v>
      </c>
      <c r="B135" s="10" t="s">
        <v>214</v>
      </c>
      <c r="C135" s="11">
        <v>0.5</v>
      </c>
      <c r="D135" s="22">
        <v>17</v>
      </c>
      <c r="E135" s="22">
        <v>11053</v>
      </c>
      <c r="F135" s="10" t="s">
        <v>76</v>
      </c>
      <c r="G135" s="10" t="str">
        <f t="shared" si="0"/>
        <v>11053B</v>
      </c>
    </row>
    <row r="136" spans="1:7" x14ac:dyDescent="0.25">
      <c r="A136">
        <f>IF(AND(Sheet2!B136=Sheet1!B$19,Sheet2!C136=Sheet1!C$19,Sheet2!D136=Sheet1!D$19),1,0)</f>
        <v>0</v>
      </c>
      <c r="B136" s="10" t="s">
        <v>214</v>
      </c>
      <c r="C136" s="11">
        <v>0.5</v>
      </c>
      <c r="D136" s="22">
        <v>18</v>
      </c>
      <c r="E136" s="22">
        <v>11054</v>
      </c>
      <c r="F136" s="10" t="s">
        <v>76</v>
      </c>
      <c r="G136" s="10" t="str">
        <f t="shared" si="0"/>
        <v>11054B</v>
      </c>
    </row>
    <row r="137" spans="1:7" x14ac:dyDescent="0.25">
      <c r="A137">
        <f>IF(AND(Sheet2!B137=Sheet1!B$19,Sheet2!C137=Sheet1!C$19,Sheet2!D137=Sheet1!D$19),1,0)</f>
        <v>0</v>
      </c>
      <c r="B137" s="10" t="s">
        <v>214</v>
      </c>
      <c r="C137" s="11">
        <v>0.5</v>
      </c>
      <c r="D137" s="22">
        <v>19</v>
      </c>
      <c r="E137" s="22">
        <v>11055</v>
      </c>
      <c r="F137" s="10" t="s">
        <v>76</v>
      </c>
      <c r="G137" s="10" t="str">
        <f t="shared" si="0"/>
        <v>11055B</v>
      </c>
    </row>
    <row r="138" spans="1:7" x14ac:dyDescent="0.25">
      <c r="A138">
        <f>IF(AND(Sheet2!B138=Sheet1!B$19,Sheet2!C138=Sheet1!C$19,Sheet2!D138=Sheet1!D$19),1,0)</f>
        <v>0</v>
      </c>
      <c r="B138" s="10" t="s">
        <v>214</v>
      </c>
      <c r="C138" s="11">
        <v>0.5</v>
      </c>
      <c r="D138" s="22">
        <v>20</v>
      </c>
      <c r="E138" s="22">
        <v>11056</v>
      </c>
      <c r="F138" s="10" t="s">
        <v>76</v>
      </c>
      <c r="G138" s="10" t="str">
        <f t="shared" si="0"/>
        <v>11056B</v>
      </c>
    </row>
    <row r="139" spans="1:7" x14ac:dyDescent="0.25">
      <c r="A139">
        <f>IF(AND(Sheet2!B139=Sheet1!B$19,Sheet2!C139=Sheet1!C$19,Sheet2!D139=Sheet1!D$19),1,0)</f>
        <v>0</v>
      </c>
      <c r="B139" s="10" t="s">
        <v>214</v>
      </c>
      <c r="C139" s="11">
        <v>0.5</v>
      </c>
      <c r="D139" s="22">
        <v>21</v>
      </c>
      <c r="E139" s="22">
        <v>11348</v>
      </c>
      <c r="F139" s="10" t="s">
        <v>76</v>
      </c>
      <c r="G139" s="10" t="str">
        <f t="shared" si="0"/>
        <v>11348B</v>
      </c>
    </row>
    <row r="140" spans="1:7" x14ac:dyDescent="0.25">
      <c r="A140">
        <f>IF(AND(Sheet2!B140=Sheet1!B$19,Sheet2!C140=Sheet1!C$19,Sheet2!D140=Sheet1!D$19),1,0)</f>
        <v>0</v>
      </c>
      <c r="B140" s="10" t="s">
        <v>214</v>
      </c>
      <c r="C140" s="11">
        <v>0.5</v>
      </c>
      <c r="D140" s="22">
        <v>22</v>
      </c>
      <c r="E140" s="22">
        <v>11134</v>
      </c>
      <c r="F140" s="10" t="s">
        <v>76</v>
      </c>
      <c r="G140" s="10" t="str">
        <f t="shared" si="0"/>
        <v>11134B</v>
      </c>
    </row>
    <row r="141" spans="1:7" x14ac:dyDescent="0.25">
      <c r="A141">
        <f>IF(AND(Sheet2!B141=Sheet1!B$19,Sheet2!C141=Sheet1!C$19,Sheet2!D141=Sheet1!D$19),1,0)</f>
        <v>0</v>
      </c>
      <c r="B141" s="10" t="s">
        <v>214</v>
      </c>
      <c r="C141" s="11">
        <v>0.5</v>
      </c>
      <c r="D141" s="22">
        <v>23</v>
      </c>
      <c r="E141" s="22">
        <v>11349</v>
      </c>
      <c r="F141" s="10" t="s">
        <v>76</v>
      </c>
      <c r="G141" s="10" t="str">
        <f t="shared" si="0"/>
        <v>11349B</v>
      </c>
    </row>
    <row r="142" spans="1:7" x14ac:dyDescent="0.25">
      <c r="A142">
        <f>IF(AND(Sheet2!B142=Sheet1!B$19,Sheet2!C142=Sheet1!C$19,Sheet2!D142=Sheet1!D$19),1,0)</f>
        <v>0</v>
      </c>
      <c r="B142" s="10" t="s">
        <v>214</v>
      </c>
      <c r="C142" s="11">
        <v>0.5</v>
      </c>
      <c r="D142" s="22">
        <v>24</v>
      </c>
      <c r="E142" s="22">
        <v>11350</v>
      </c>
      <c r="F142" s="10" t="s">
        <v>76</v>
      </c>
      <c r="G142" s="10" t="str">
        <f t="shared" si="0"/>
        <v>11350B</v>
      </c>
    </row>
    <row r="143" spans="1:7" x14ac:dyDescent="0.25">
      <c r="A143">
        <f>IF(AND(Sheet2!B143=Sheet1!B$19,Sheet2!C143=Sheet1!C$19,Sheet2!D143=Sheet1!D$19),1,0)</f>
        <v>0</v>
      </c>
      <c r="B143" s="10" t="s">
        <v>214</v>
      </c>
      <c r="C143" s="11">
        <v>0.5</v>
      </c>
      <c r="D143" s="22">
        <v>25</v>
      </c>
      <c r="E143" s="22">
        <v>11351</v>
      </c>
      <c r="F143" s="10" t="s">
        <v>76</v>
      </c>
      <c r="G143" s="10" t="str">
        <f t="shared" si="0"/>
        <v>11351B</v>
      </c>
    </row>
    <row r="144" spans="1:7" x14ac:dyDescent="0.25">
      <c r="A144">
        <f>IF(AND(Sheet2!B144=Sheet1!B$19,Sheet2!C144=Sheet1!C$19,Sheet2!D144=Sheet1!D$19),1,0)</f>
        <v>0</v>
      </c>
      <c r="B144" s="10" t="s">
        <v>214</v>
      </c>
      <c r="C144" s="11">
        <v>0.5</v>
      </c>
      <c r="D144" s="22">
        <v>26</v>
      </c>
      <c r="E144" s="22">
        <v>11352</v>
      </c>
      <c r="F144" s="10" t="s">
        <v>76</v>
      </c>
      <c r="G144" s="10" t="str">
        <f t="shared" si="0"/>
        <v>11352B</v>
      </c>
    </row>
    <row r="145" spans="1:7" x14ac:dyDescent="0.25">
      <c r="A145">
        <f>IF(AND(Sheet2!B145=Sheet1!B$19,Sheet2!C145=Sheet1!C$19,Sheet2!D145=Sheet1!D$19),1,0)</f>
        <v>0</v>
      </c>
      <c r="B145" s="10" t="s">
        <v>214</v>
      </c>
      <c r="C145" s="11">
        <v>0.5</v>
      </c>
      <c r="D145" s="22">
        <v>27</v>
      </c>
      <c r="E145" s="22">
        <v>11353</v>
      </c>
      <c r="F145" s="10" t="s">
        <v>76</v>
      </c>
      <c r="G145" s="10" t="str">
        <f t="shared" si="0"/>
        <v>11353B</v>
      </c>
    </row>
    <row r="146" spans="1:7" x14ac:dyDescent="0.25">
      <c r="A146">
        <f>IF(AND(Sheet2!B146=Sheet1!B$19,Sheet2!C146=Sheet1!C$19,Sheet2!D146=Sheet1!D$19),1,0)</f>
        <v>0</v>
      </c>
      <c r="B146" s="10" t="s">
        <v>214</v>
      </c>
      <c r="C146" s="11">
        <v>0.5</v>
      </c>
      <c r="D146" s="22">
        <v>28</v>
      </c>
      <c r="E146" s="22">
        <v>11354</v>
      </c>
      <c r="F146" s="10" t="s">
        <v>76</v>
      </c>
      <c r="G146" s="10" t="str">
        <f t="shared" si="0"/>
        <v>11354B</v>
      </c>
    </row>
    <row r="147" spans="1:7" x14ac:dyDescent="0.25">
      <c r="A147">
        <f>IF(AND(Sheet2!B147=Sheet1!B$19,Sheet2!C147=Sheet1!C$19,Sheet2!D147=Sheet1!D$19),1,0)</f>
        <v>0</v>
      </c>
      <c r="B147" s="10" t="s">
        <v>214</v>
      </c>
      <c r="C147" s="11">
        <v>0.5</v>
      </c>
      <c r="D147" s="22">
        <v>29</v>
      </c>
      <c r="E147" s="22">
        <v>11355</v>
      </c>
      <c r="F147" s="10" t="s">
        <v>76</v>
      </c>
      <c r="G147" s="10" t="str">
        <f t="shared" si="0"/>
        <v>11355B</v>
      </c>
    </row>
    <row r="148" spans="1:7" x14ac:dyDescent="0.25">
      <c r="A148">
        <f>IF(AND(Sheet2!B148=Sheet1!B$19,Sheet2!C148=Sheet1!C$19,Sheet2!D148=Sheet1!D$19),1,0)</f>
        <v>0</v>
      </c>
      <c r="B148" s="10" t="s">
        <v>214</v>
      </c>
      <c r="C148" s="11">
        <v>0.5</v>
      </c>
      <c r="D148" s="22">
        <v>30</v>
      </c>
      <c r="E148" s="22">
        <v>11133</v>
      </c>
      <c r="F148" s="10" t="s">
        <v>76</v>
      </c>
      <c r="G148" s="10" t="str">
        <f t="shared" si="0"/>
        <v>11133B</v>
      </c>
    </row>
    <row r="149" spans="1:7" x14ac:dyDescent="0.25">
      <c r="A149">
        <f>IF(AND(Sheet2!B149=Sheet1!B$19,Sheet2!C149=Sheet1!C$19,Sheet2!D149=Sheet1!D$19),1,0)</f>
        <v>0</v>
      </c>
      <c r="B149" s="10" t="s">
        <v>214</v>
      </c>
      <c r="C149" s="11">
        <v>0.5</v>
      </c>
      <c r="D149" s="22">
        <v>31</v>
      </c>
      <c r="E149" s="22">
        <v>11356</v>
      </c>
      <c r="F149" s="10" t="s">
        <v>76</v>
      </c>
      <c r="G149" s="10" t="str">
        <f t="shared" si="0"/>
        <v>11356B</v>
      </c>
    </row>
    <row r="150" spans="1:7" x14ac:dyDescent="0.25">
      <c r="A150">
        <f>IF(AND(Sheet2!B150=Sheet1!B$19,Sheet2!C150=Sheet1!C$19,Sheet2!D150=Sheet1!D$19),1,0)</f>
        <v>0</v>
      </c>
      <c r="B150" s="10" t="s">
        <v>214</v>
      </c>
      <c r="C150" s="11">
        <v>0.5</v>
      </c>
      <c r="D150" s="22">
        <v>32</v>
      </c>
      <c r="E150" s="22">
        <v>11357</v>
      </c>
      <c r="F150" s="10" t="s">
        <v>76</v>
      </c>
      <c r="G150" s="10" t="str">
        <f t="shared" si="0"/>
        <v>11357B</v>
      </c>
    </row>
    <row r="151" spans="1:7" x14ac:dyDescent="0.25">
      <c r="A151">
        <f>IF(AND(Sheet2!B151=Sheet1!B$19,Sheet2!C151=Sheet1!C$19,Sheet2!D151=Sheet1!D$19),1,0)</f>
        <v>0</v>
      </c>
      <c r="B151" s="10" t="s">
        <v>214</v>
      </c>
      <c r="C151" s="11">
        <v>0.5</v>
      </c>
      <c r="D151" s="22">
        <v>33</v>
      </c>
      <c r="E151" s="22">
        <v>11358</v>
      </c>
      <c r="F151" s="10" t="s">
        <v>76</v>
      </c>
      <c r="G151" s="10" t="str">
        <f t="shared" si="0"/>
        <v>11358B</v>
      </c>
    </row>
    <row r="152" spans="1:7" x14ac:dyDescent="0.25">
      <c r="A152">
        <f>IF(AND(Sheet2!B152=Sheet1!B$19,Sheet2!C152=Sheet1!C$19,Sheet2!D152=Sheet1!D$19),1,0)</f>
        <v>0</v>
      </c>
      <c r="B152" s="10" t="s">
        <v>214</v>
      </c>
      <c r="C152" s="11">
        <v>0.5</v>
      </c>
      <c r="D152" s="22">
        <v>34</v>
      </c>
      <c r="E152" s="22">
        <v>11359</v>
      </c>
      <c r="F152" s="10" t="s">
        <v>76</v>
      </c>
      <c r="G152" s="10" t="str">
        <f t="shared" si="0"/>
        <v>11359B</v>
      </c>
    </row>
    <row r="153" spans="1:7" x14ac:dyDescent="0.25">
      <c r="A153">
        <f>IF(AND(Sheet2!B153=Sheet1!B$19,Sheet2!C153=Sheet1!C$19,Sheet2!D153=Sheet1!D$19),1,0)</f>
        <v>0</v>
      </c>
      <c r="B153" s="10" t="s">
        <v>214</v>
      </c>
      <c r="C153" s="11">
        <v>0.5</v>
      </c>
      <c r="D153" s="22">
        <v>35</v>
      </c>
      <c r="E153" s="22">
        <v>11360</v>
      </c>
      <c r="F153" s="10" t="s">
        <v>76</v>
      </c>
      <c r="G153" s="10" t="str">
        <f t="shared" si="0"/>
        <v>11360B</v>
      </c>
    </row>
    <row r="154" spans="1:7" x14ac:dyDescent="0.25">
      <c r="A154">
        <f>IF(AND(Sheet2!B154=Sheet1!B$19,Sheet2!C154=Sheet1!C$19,Sheet2!D154=Sheet1!D$19),1,0)</f>
        <v>0</v>
      </c>
      <c r="B154" s="10" t="s">
        <v>214</v>
      </c>
      <c r="C154" s="11">
        <v>0.5</v>
      </c>
      <c r="D154" s="22">
        <v>36</v>
      </c>
      <c r="E154" s="22">
        <v>11361</v>
      </c>
      <c r="F154" s="10" t="s">
        <v>76</v>
      </c>
      <c r="G154" s="10" t="str">
        <f t="shared" si="0"/>
        <v>11361B</v>
      </c>
    </row>
    <row r="155" spans="1:7" x14ac:dyDescent="0.25">
      <c r="A155">
        <f>IF(AND(Sheet2!B155=Sheet1!B$19,Sheet2!C155=Sheet1!C$19,Sheet2!D155=Sheet1!D$19),1,0)</f>
        <v>0</v>
      </c>
      <c r="B155" s="10" t="s">
        <v>214</v>
      </c>
      <c r="C155" s="11">
        <v>0.5</v>
      </c>
      <c r="D155" s="22">
        <v>37</v>
      </c>
      <c r="E155" s="22">
        <v>11362</v>
      </c>
      <c r="F155" s="10" t="s">
        <v>76</v>
      </c>
      <c r="G155" s="10" t="str">
        <f t="shared" si="0"/>
        <v>11362B</v>
      </c>
    </row>
    <row r="156" spans="1:7" x14ac:dyDescent="0.25">
      <c r="A156">
        <f>IF(AND(Sheet2!B156=Sheet1!B$19,Sheet2!C156=Sheet1!C$19,Sheet2!D156=Sheet1!D$19),1,0)</f>
        <v>0</v>
      </c>
      <c r="B156" s="10" t="s">
        <v>214</v>
      </c>
      <c r="C156" s="11">
        <v>0.5</v>
      </c>
      <c r="D156" s="22">
        <v>38</v>
      </c>
      <c r="E156" s="22">
        <v>11363</v>
      </c>
      <c r="F156" s="10" t="s">
        <v>76</v>
      </c>
      <c r="G156" s="10" t="str">
        <f t="shared" si="0"/>
        <v>11363B</v>
      </c>
    </row>
    <row r="157" spans="1:7" x14ac:dyDescent="0.25">
      <c r="A157">
        <f>IF(AND(Sheet2!B157=Sheet1!B$19,Sheet2!C157=Sheet1!C$19,Sheet2!D157=Sheet1!D$19),1,0)</f>
        <v>0</v>
      </c>
      <c r="B157" s="10" t="s">
        <v>214</v>
      </c>
      <c r="C157" s="11">
        <v>0.5</v>
      </c>
      <c r="D157" s="22">
        <v>39</v>
      </c>
      <c r="E157" s="22">
        <v>11364</v>
      </c>
      <c r="F157" s="10" t="s">
        <v>76</v>
      </c>
      <c r="G157" s="10" t="str">
        <f t="shared" si="0"/>
        <v>11364B</v>
      </c>
    </row>
    <row r="158" spans="1:7" x14ac:dyDescent="0.25">
      <c r="A158">
        <f>IF(AND(Sheet2!B158=Sheet1!B$19,Sheet2!C158=Sheet1!C$19,Sheet2!D158=Sheet1!D$19),1,0)</f>
        <v>0</v>
      </c>
      <c r="B158" s="10" t="s">
        <v>214</v>
      </c>
      <c r="C158" s="11">
        <v>0.5</v>
      </c>
      <c r="D158" s="22">
        <v>40</v>
      </c>
      <c r="E158" s="22">
        <v>11365</v>
      </c>
      <c r="F158" s="10" t="s">
        <v>76</v>
      </c>
      <c r="G158" s="10" t="str">
        <f t="shared" si="0"/>
        <v>11365B</v>
      </c>
    </row>
    <row r="159" spans="1:7" x14ac:dyDescent="0.25">
      <c r="A159">
        <f>IF(AND(Sheet2!B159=Sheet1!B$19,Sheet2!C159=Sheet1!C$19,Sheet2!D159=Sheet1!D$19),1,0)</f>
        <v>0</v>
      </c>
      <c r="B159" s="10" t="s">
        <v>214</v>
      </c>
      <c r="C159" s="11">
        <v>0.5</v>
      </c>
      <c r="D159" s="22">
        <v>41</v>
      </c>
      <c r="E159" s="22">
        <v>11366</v>
      </c>
      <c r="F159" s="10" t="s">
        <v>76</v>
      </c>
      <c r="G159" s="10" t="str">
        <f t="shared" si="0"/>
        <v>11366B</v>
      </c>
    </row>
    <row r="160" spans="1:7" x14ac:dyDescent="0.25">
      <c r="A160">
        <f>IF(AND(Sheet2!B160=Sheet1!B$19,Sheet2!C160=Sheet1!C$19,Sheet2!D160=Sheet1!D$19),1,0)</f>
        <v>0</v>
      </c>
      <c r="B160" s="10" t="s">
        <v>214</v>
      </c>
      <c r="C160" s="11">
        <v>0.5</v>
      </c>
      <c r="D160" s="22">
        <v>42</v>
      </c>
      <c r="E160" s="22">
        <v>11367</v>
      </c>
      <c r="F160" s="10" t="s">
        <v>76</v>
      </c>
      <c r="G160" s="10" t="str">
        <f t="shared" si="0"/>
        <v>11367B</v>
      </c>
    </row>
    <row r="161" spans="1:7" x14ac:dyDescent="0.25">
      <c r="A161">
        <f>IF(AND(Sheet2!B161=Sheet1!B$19,Sheet2!C161=Sheet1!C$19,Sheet2!D161=Sheet1!D$19),1,0)</f>
        <v>0</v>
      </c>
      <c r="B161" s="10" t="s">
        <v>214</v>
      </c>
      <c r="C161" s="11">
        <v>0.5</v>
      </c>
      <c r="D161" s="22">
        <v>43</v>
      </c>
      <c r="E161" s="22">
        <v>11368</v>
      </c>
      <c r="F161" s="10" t="s">
        <v>76</v>
      </c>
      <c r="G161" s="10" t="str">
        <f t="shared" si="0"/>
        <v>11368B</v>
      </c>
    </row>
    <row r="162" spans="1:7" x14ac:dyDescent="0.25">
      <c r="A162">
        <f>IF(AND(Sheet2!B162=Sheet1!B$19,Sheet2!C162=Sheet1!C$19,Sheet2!D162=Sheet1!D$19),1,0)</f>
        <v>0</v>
      </c>
      <c r="B162" s="10" t="s">
        <v>214</v>
      </c>
      <c r="C162" s="11">
        <v>0.5</v>
      </c>
      <c r="D162" s="22">
        <v>44</v>
      </c>
      <c r="E162" s="22">
        <v>11369</v>
      </c>
      <c r="F162" s="10" t="s">
        <v>76</v>
      </c>
      <c r="G162" s="10" t="str">
        <f t="shared" si="0"/>
        <v>11369B</v>
      </c>
    </row>
    <row r="163" spans="1:7" x14ac:dyDescent="0.25">
      <c r="A163">
        <f>IF(AND(Sheet2!B163=Sheet1!B$19,Sheet2!C163=Sheet1!C$19,Sheet2!D163=Sheet1!D$19),1,0)</f>
        <v>0</v>
      </c>
      <c r="B163" s="10" t="s">
        <v>214</v>
      </c>
      <c r="C163" s="11">
        <v>0.5</v>
      </c>
      <c r="D163" s="22">
        <v>45</v>
      </c>
      <c r="E163" s="22">
        <v>11370</v>
      </c>
      <c r="F163" s="10" t="s">
        <v>76</v>
      </c>
      <c r="G163" s="10" t="str">
        <f t="shared" si="0"/>
        <v>11370B</v>
      </c>
    </row>
    <row r="164" spans="1:7" x14ac:dyDescent="0.25">
      <c r="A164">
        <f>IF(AND(Sheet2!B164=Sheet1!B$19,Sheet2!C164=Sheet1!C$19,Sheet2!D164=Sheet1!D$19),1,0)</f>
        <v>0</v>
      </c>
      <c r="B164" s="10" t="s">
        <v>214</v>
      </c>
      <c r="C164" s="11">
        <v>0.5</v>
      </c>
      <c r="D164" s="22">
        <v>46</v>
      </c>
      <c r="E164" s="22">
        <v>11371</v>
      </c>
      <c r="F164" s="10" t="s">
        <v>76</v>
      </c>
      <c r="G164" s="10" t="str">
        <f t="shared" si="0"/>
        <v>11371B</v>
      </c>
    </row>
    <row r="165" spans="1:7" x14ac:dyDescent="0.25">
      <c r="A165">
        <f>IF(AND(Sheet2!B165=Sheet1!B$19,Sheet2!C165=Sheet1!C$19,Sheet2!D165=Sheet1!D$19),1,0)</f>
        <v>0</v>
      </c>
      <c r="B165" s="10" t="s">
        <v>214</v>
      </c>
      <c r="C165" s="11">
        <v>0.5</v>
      </c>
      <c r="D165" s="22">
        <v>47</v>
      </c>
      <c r="E165" s="22">
        <v>11372</v>
      </c>
      <c r="F165" s="10" t="s">
        <v>76</v>
      </c>
      <c r="G165" s="10" t="str">
        <f t="shared" si="0"/>
        <v>11372B</v>
      </c>
    </row>
    <row r="166" spans="1:7" x14ac:dyDescent="0.25">
      <c r="A166">
        <f>IF(AND(Sheet2!B166=Sheet1!B$19,Sheet2!C166=Sheet1!C$19,Sheet2!D166=Sheet1!D$19),1,0)</f>
        <v>0</v>
      </c>
      <c r="B166" s="10" t="s">
        <v>214</v>
      </c>
      <c r="C166" s="11">
        <v>0.5</v>
      </c>
      <c r="D166" s="22">
        <v>48</v>
      </c>
      <c r="E166" s="22">
        <v>11373</v>
      </c>
      <c r="F166" s="10" t="s">
        <v>76</v>
      </c>
      <c r="G166" s="10" t="str">
        <f t="shared" si="0"/>
        <v>11373B</v>
      </c>
    </row>
    <row r="167" spans="1:7" x14ac:dyDescent="0.25">
      <c r="A167">
        <f>IF(AND(Sheet2!B167=Sheet1!B$19,Sheet2!C167=Sheet1!C$19,Sheet2!D167=Sheet1!D$19),1,0)</f>
        <v>0</v>
      </c>
      <c r="B167" s="10" t="s">
        <v>214</v>
      </c>
      <c r="C167" s="11">
        <v>0.5</v>
      </c>
      <c r="D167" s="22">
        <v>49</v>
      </c>
      <c r="E167" s="22">
        <v>11374</v>
      </c>
      <c r="F167" s="10" t="s">
        <v>76</v>
      </c>
      <c r="G167" s="10" t="str">
        <f t="shared" si="0"/>
        <v>11374B</v>
      </c>
    </row>
    <row r="168" spans="1:7" x14ac:dyDescent="0.25">
      <c r="A168">
        <f>IF(AND(Sheet2!B168=Sheet1!B$19,Sheet2!C168=Sheet1!C$19,Sheet2!D168=Sheet1!D$19),1,0)</f>
        <v>0</v>
      </c>
      <c r="B168" s="10" t="s">
        <v>214</v>
      </c>
      <c r="C168" s="11">
        <v>0.5</v>
      </c>
      <c r="D168" s="22">
        <v>50</v>
      </c>
      <c r="E168" s="22">
        <v>11375</v>
      </c>
      <c r="F168" s="10" t="s">
        <v>76</v>
      </c>
      <c r="G168" s="10" t="str">
        <f t="shared" si="0"/>
        <v>11375B</v>
      </c>
    </row>
    <row r="169" spans="1:7" x14ac:dyDescent="0.25">
      <c r="A169">
        <f>IF(AND(Sheet2!B169=Sheet1!B$19,Sheet2!C169=Sheet1!C$19,Sheet2!D169=Sheet1!D$19),1,0)</f>
        <v>0</v>
      </c>
      <c r="B169" s="10" t="s">
        <v>214</v>
      </c>
      <c r="C169" s="11">
        <v>0.5</v>
      </c>
      <c r="D169" s="22">
        <v>51</v>
      </c>
      <c r="E169" s="22">
        <v>11376</v>
      </c>
      <c r="F169" s="10" t="s">
        <v>76</v>
      </c>
      <c r="G169" s="10" t="str">
        <f t="shared" si="0"/>
        <v>11376B</v>
      </c>
    </row>
    <row r="170" spans="1:7" x14ac:dyDescent="0.25">
      <c r="A170">
        <f>IF(AND(Sheet2!B170=Sheet1!B$19,Sheet2!C170=Sheet1!C$19,Sheet2!D170=Sheet1!D$19),1,0)</f>
        <v>0</v>
      </c>
      <c r="B170" s="10" t="s">
        <v>214</v>
      </c>
      <c r="C170" s="11">
        <v>0.5</v>
      </c>
      <c r="D170" s="22">
        <v>52</v>
      </c>
      <c r="E170" s="22">
        <v>11377</v>
      </c>
      <c r="F170" s="10" t="s">
        <v>76</v>
      </c>
      <c r="G170" s="10" t="str">
        <f t="shared" si="0"/>
        <v>11377B</v>
      </c>
    </row>
    <row r="171" spans="1:7" x14ac:dyDescent="0.25">
      <c r="A171">
        <f>IF(AND(Sheet2!B171=Sheet1!B$19,Sheet2!C171=Sheet1!C$19,Sheet2!D171=Sheet1!D$19),1,0)</f>
        <v>0</v>
      </c>
      <c r="B171" s="10" t="s">
        <v>214</v>
      </c>
      <c r="C171" s="11">
        <v>0.5</v>
      </c>
      <c r="D171" s="22">
        <v>53</v>
      </c>
      <c r="E171" s="22">
        <v>11378</v>
      </c>
      <c r="F171" s="10" t="s">
        <v>76</v>
      </c>
      <c r="G171" s="10" t="str">
        <f t="shared" si="0"/>
        <v>11378B</v>
      </c>
    </row>
    <row r="172" spans="1:7" x14ac:dyDescent="0.25">
      <c r="A172">
        <f>IF(AND(Sheet2!B172=Sheet1!B$19,Sheet2!C172=Sheet1!C$19,Sheet2!D172=Sheet1!D$19),1,0)</f>
        <v>0</v>
      </c>
      <c r="B172" s="10" t="s">
        <v>214</v>
      </c>
      <c r="C172" s="11">
        <v>0.5</v>
      </c>
      <c r="D172" s="22">
        <v>54</v>
      </c>
      <c r="E172" s="22">
        <v>11379</v>
      </c>
      <c r="F172" s="10" t="s">
        <v>76</v>
      </c>
      <c r="G172" s="10" t="str">
        <f t="shared" si="0"/>
        <v>11379B</v>
      </c>
    </row>
    <row r="173" spans="1:7" x14ac:dyDescent="0.25">
      <c r="A173">
        <f>IF(AND(Sheet2!B173=Sheet1!B$19,Sheet2!C173=Sheet1!C$19,Sheet2!D173=Sheet1!D$19),1,0)</f>
        <v>0</v>
      </c>
      <c r="B173" s="10" t="s">
        <v>214</v>
      </c>
      <c r="C173" s="11">
        <v>0.5</v>
      </c>
      <c r="D173" s="22">
        <v>55</v>
      </c>
      <c r="E173" s="22">
        <v>11380</v>
      </c>
      <c r="F173" s="10" t="s">
        <v>76</v>
      </c>
      <c r="G173" s="10" t="str">
        <f t="shared" si="0"/>
        <v>11380B</v>
      </c>
    </row>
    <row r="174" spans="1:7" x14ac:dyDescent="0.25">
      <c r="A174">
        <f>IF(AND(Sheet2!B174=Sheet1!B$19,Sheet2!C174=Sheet1!C$19,Sheet2!D174=Sheet1!D$19),1,0)</f>
        <v>0</v>
      </c>
      <c r="B174" s="10" t="s">
        <v>214</v>
      </c>
      <c r="C174" s="11">
        <v>0.5</v>
      </c>
      <c r="D174" s="22">
        <v>56</v>
      </c>
      <c r="E174" s="22">
        <v>11381</v>
      </c>
      <c r="F174" s="10" t="s">
        <v>76</v>
      </c>
      <c r="G174" s="10" t="str">
        <f t="shared" si="0"/>
        <v>11381B</v>
      </c>
    </row>
    <row r="175" spans="1:7" x14ac:dyDescent="0.25">
      <c r="A175">
        <f>IF(AND(Sheet2!B175=Sheet1!B$19,Sheet2!C175=Sheet1!C$19,Sheet2!D175=Sheet1!D$19),1,0)</f>
        <v>0</v>
      </c>
      <c r="B175" s="10" t="s">
        <v>214</v>
      </c>
      <c r="C175" s="11">
        <v>0.5</v>
      </c>
      <c r="D175" s="22">
        <v>57</v>
      </c>
      <c r="E175" s="22">
        <v>11382</v>
      </c>
      <c r="F175" s="10" t="s">
        <v>76</v>
      </c>
      <c r="G175" s="10" t="str">
        <f t="shared" si="0"/>
        <v>11382B</v>
      </c>
    </row>
    <row r="176" spans="1:7" x14ac:dyDescent="0.25">
      <c r="A176">
        <f>IF(AND(Sheet2!B176=Sheet1!B$19,Sheet2!C176=Sheet1!C$19,Sheet2!D176=Sheet1!D$19),1,0)</f>
        <v>0</v>
      </c>
      <c r="B176" s="10" t="s">
        <v>214</v>
      </c>
      <c r="C176" s="11">
        <v>0.5</v>
      </c>
      <c r="D176" s="22">
        <v>58</v>
      </c>
      <c r="E176" s="22">
        <v>11383</v>
      </c>
      <c r="F176" s="10" t="s">
        <v>76</v>
      </c>
      <c r="G176" s="10" t="str">
        <f t="shared" si="0"/>
        <v>11383B</v>
      </c>
    </row>
    <row r="177" spans="1:7" x14ac:dyDescent="0.25">
      <c r="A177">
        <f>IF(AND(Sheet2!B177=Sheet1!B$19,Sheet2!C177=Sheet1!C$19,Sheet2!D177=Sheet1!D$19),1,0)</f>
        <v>0</v>
      </c>
      <c r="B177" s="10" t="s">
        <v>214</v>
      </c>
      <c r="C177" s="11">
        <v>0.5</v>
      </c>
      <c r="D177" s="22">
        <v>59</v>
      </c>
      <c r="E177" s="22">
        <v>11384</v>
      </c>
      <c r="F177" s="10" t="s">
        <v>76</v>
      </c>
      <c r="G177" s="10" t="str">
        <f t="shared" si="0"/>
        <v>11384B</v>
      </c>
    </row>
    <row r="178" spans="1:7" x14ac:dyDescent="0.25">
      <c r="A178">
        <f>IF(AND(Sheet2!B178=Sheet1!B$19,Sheet2!C178=Sheet1!C$19,Sheet2!D178=Sheet1!D$19),1,0)</f>
        <v>0</v>
      </c>
      <c r="B178" s="10" t="s">
        <v>214</v>
      </c>
      <c r="C178" s="11">
        <v>0.5</v>
      </c>
      <c r="D178" s="22">
        <v>60</v>
      </c>
      <c r="E178" s="22">
        <v>11385</v>
      </c>
      <c r="F178" s="10" t="s">
        <v>76</v>
      </c>
      <c r="G178" s="10" t="str">
        <f t="shared" si="0"/>
        <v>11385B</v>
      </c>
    </row>
    <row r="179" spans="1:7" x14ac:dyDescent="0.25">
      <c r="A179">
        <f>IF(AND(Sheet2!B179=Sheet1!B$19,Sheet2!C179=Sheet1!C$19,Sheet2!D179=Sheet1!D$19),1,0)</f>
        <v>0</v>
      </c>
      <c r="B179" s="10" t="s">
        <v>214</v>
      </c>
      <c r="C179" s="11">
        <v>0.75</v>
      </c>
      <c r="D179" s="22">
        <v>2</v>
      </c>
      <c r="E179" s="22">
        <v>11057</v>
      </c>
      <c r="F179" s="10" t="s">
        <v>76</v>
      </c>
      <c r="G179" s="10" t="str">
        <f t="shared" si="0"/>
        <v>11057B</v>
      </c>
    </row>
    <row r="180" spans="1:7" x14ac:dyDescent="0.25">
      <c r="A180">
        <f>IF(AND(Sheet2!B180=Sheet1!B$19,Sheet2!C180=Sheet1!C$19,Sheet2!D180=Sheet1!D$19),1,0)</f>
        <v>0</v>
      </c>
      <c r="B180" s="10" t="s">
        <v>214</v>
      </c>
      <c r="C180" s="11">
        <v>0.75</v>
      </c>
      <c r="D180" s="22">
        <v>3</v>
      </c>
      <c r="E180" s="22">
        <v>11058</v>
      </c>
      <c r="F180" s="10" t="s">
        <v>76</v>
      </c>
      <c r="G180" s="10" t="str">
        <f t="shared" si="0"/>
        <v>11058B</v>
      </c>
    </row>
    <row r="181" spans="1:7" x14ac:dyDescent="0.25">
      <c r="A181">
        <f>IF(AND(Sheet2!B181=Sheet1!B$19,Sheet2!C181=Sheet1!C$19,Sheet2!D181=Sheet1!D$19),1,0)</f>
        <v>0</v>
      </c>
      <c r="B181" s="10" t="s">
        <v>214</v>
      </c>
      <c r="C181" s="11">
        <v>0.75</v>
      </c>
      <c r="D181" s="22">
        <v>4</v>
      </c>
      <c r="E181" s="22">
        <v>11059</v>
      </c>
      <c r="F181" s="10" t="s">
        <v>76</v>
      </c>
      <c r="G181" s="10" t="str">
        <f t="shared" si="0"/>
        <v>11059B</v>
      </c>
    </row>
    <row r="182" spans="1:7" x14ac:dyDescent="0.25">
      <c r="A182">
        <f>IF(AND(Sheet2!B182=Sheet1!B$19,Sheet2!C182=Sheet1!C$19,Sheet2!D182=Sheet1!D$19),1,0)</f>
        <v>0</v>
      </c>
      <c r="B182" s="10" t="s">
        <v>214</v>
      </c>
      <c r="C182" s="11">
        <v>0.75</v>
      </c>
      <c r="D182" s="22">
        <v>5</v>
      </c>
      <c r="E182" s="22">
        <v>11060</v>
      </c>
      <c r="F182" s="10" t="s">
        <v>76</v>
      </c>
      <c r="G182" s="10" t="str">
        <f t="shared" si="0"/>
        <v>11060B</v>
      </c>
    </row>
    <row r="183" spans="1:7" x14ac:dyDescent="0.25">
      <c r="A183">
        <f>IF(AND(Sheet2!B183=Sheet1!B$19,Sheet2!C183=Sheet1!C$19,Sheet2!D183=Sheet1!D$19),1,0)</f>
        <v>0</v>
      </c>
      <c r="B183" s="10" t="s">
        <v>214</v>
      </c>
      <c r="C183" s="11">
        <v>0.75</v>
      </c>
      <c r="D183" s="22">
        <v>6</v>
      </c>
      <c r="E183" s="22">
        <v>11061</v>
      </c>
      <c r="F183" s="10" t="s">
        <v>76</v>
      </c>
      <c r="G183" s="10" t="str">
        <f t="shared" si="0"/>
        <v>11061B</v>
      </c>
    </row>
    <row r="184" spans="1:7" x14ac:dyDescent="0.25">
      <c r="A184">
        <f>IF(AND(Sheet2!B184=Sheet1!B$19,Sheet2!C184=Sheet1!C$19,Sheet2!D184=Sheet1!D$19),1,0)</f>
        <v>0</v>
      </c>
      <c r="B184" s="10" t="s">
        <v>214</v>
      </c>
      <c r="C184" s="11">
        <v>0.75</v>
      </c>
      <c r="D184" s="22">
        <v>7</v>
      </c>
      <c r="E184" s="22">
        <v>11062</v>
      </c>
      <c r="F184" s="10" t="s">
        <v>76</v>
      </c>
      <c r="G184" s="10" t="str">
        <f t="shared" ref="G184:G323" si="2">CONCATENATE(E184,F184)</f>
        <v>11062B</v>
      </c>
    </row>
    <row r="185" spans="1:7" x14ac:dyDescent="0.25">
      <c r="A185">
        <f>IF(AND(Sheet2!B185=Sheet1!B$19,Sheet2!C185=Sheet1!C$19,Sheet2!D185=Sheet1!D$19),1,0)</f>
        <v>0</v>
      </c>
      <c r="B185" s="10" t="s">
        <v>214</v>
      </c>
      <c r="C185" s="11">
        <v>0.75</v>
      </c>
      <c r="D185" s="22">
        <v>8</v>
      </c>
      <c r="E185" s="22">
        <v>11063</v>
      </c>
      <c r="F185" s="10" t="s">
        <v>76</v>
      </c>
      <c r="G185" s="10" t="str">
        <f t="shared" si="2"/>
        <v>11063B</v>
      </c>
    </row>
    <row r="186" spans="1:7" x14ac:dyDescent="0.25">
      <c r="A186">
        <f>IF(AND(Sheet2!B186=Sheet1!B$19,Sheet2!C186=Sheet1!C$19,Sheet2!D186=Sheet1!D$19),1,0)</f>
        <v>0</v>
      </c>
      <c r="B186" s="10" t="s">
        <v>214</v>
      </c>
      <c r="C186" s="11">
        <v>0.75</v>
      </c>
      <c r="D186" s="22">
        <v>9</v>
      </c>
      <c r="E186" s="22">
        <v>11064</v>
      </c>
      <c r="F186" s="10" t="s">
        <v>76</v>
      </c>
      <c r="G186" s="10" t="str">
        <f t="shared" si="2"/>
        <v>11064B</v>
      </c>
    </row>
    <row r="187" spans="1:7" x14ac:dyDescent="0.25">
      <c r="A187">
        <f>IF(AND(Sheet2!B187=Sheet1!B$19,Sheet2!C187=Sheet1!C$19,Sheet2!D187=Sheet1!D$19),1,0)</f>
        <v>0</v>
      </c>
      <c r="B187" s="10" t="s">
        <v>214</v>
      </c>
      <c r="C187" s="11">
        <v>0.75</v>
      </c>
      <c r="D187" s="22">
        <v>10</v>
      </c>
      <c r="E187" s="22">
        <v>11065</v>
      </c>
      <c r="F187" s="10" t="s">
        <v>76</v>
      </c>
      <c r="G187" s="10" t="str">
        <f t="shared" si="2"/>
        <v>11065B</v>
      </c>
    </row>
    <row r="188" spans="1:7" x14ac:dyDescent="0.25">
      <c r="A188">
        <f>IF(AND(Sheet2!B188=Sheet1!B$19,Sheet2!C188=Sheet1!C$19,Sheet2!D188=Sheet1!D$19),1,0)</f>
        <v>0</v>
      </c>
      <c r="B188" s="10" t="s">
        <v>214</v>
      </c>
      <c r="C188" s="11">
        <v>0.75</v>
      </c>
      <c r="D188" s="22">
        <v>11</v>
      </c>
      <c r="E188" s="22">
        <v>11066</v>
      </c>
      <c r="F188" s="10" t="s">
        <v>76</v>
      </c>
      <c r="G188" s="10" t="str">
        <f t="shared" si="2"/>
        <v>11066B</v>
      </c>
    </row>
    <row r="189" spans="1:7" x14ac:dyDescent="0.25">
      <c r="A189">
        <f>IF(AND(Sheet2!B189=Sheet1!B$19,Sheet2!C189=Sheet1!C$19,Sheet2!D189=Sheet1!D$19),1,0)</f>
        <v>0</v>
      </c>
      <c r="B189" s="10" t="s">
        <v>214</v>
      </c>
      <c r="C189" s="11">
        <v>0.75</v>
      </c>
      <c r="D189" s="22">
        <v>12</v>
      </c>
      <c r="E189" s="22">
        <v>11067</v>
      </c>
      <c r="F189" s="10" t="s">
        <v>76</v>
      </c>
      <c r="G189" s="10" t="str">
        <f t="shared" si="2"/>
        <v>11067B</v>
      </c>
    </row>
    <row r="190" spans="1:7" x14ac:dyDescent="0.25">
      <c r="A190">
        <f>IF(AND(Sheet2!B190=Sheet1!B$19,Sheet2!C190=Sheet1!C$19,Sheet2!D190=Sheet1!D$19),1,0)</f>
        <v>0</v>
      </c>
      <c r="B190" s="10" t="s">
        <v>214</v>
      </c>
      <c r="C190" s="11">
        <v>0.75</v>
      </c>
      <c r="D190" s="22">
        <v>13</v>
      </c>
      <c r="E190" s="22">
        <v>11068</v>
      </c>
      <c r="F190" s="10" t="s">
        <v>76</v>
      </c>
      <c r="G190" s="10" t="str">
        <f t="shared" si="2"/>
        <v>11068B</v>
      </c>
    </row>
    <row r="191" spans="1:7" x14ac:dyDescent="0.25">
      <c r="A191">
        <f>IF(AND(Sheet2!B191=Sheet1!B$19,Sheet2!C191=Sheet1!C$19,Sheet2!D191=Sheet1!D$19),1,0)</f>
        <v>0</v>
      </c>
      <c r="B191" s="10" t="s">
        <v>214</v>
      </c>
      <c r="C191" s="11">
        <v>0.75</v>
      </c>
      <c r="D191" s="22">
        <v>14</v>
      </c>
      <c r="E191" s="22">
        <v>11069</v>
      </c>
      <c r="F191" s="10" t="s">
        <v>76</v>
      </c>
      <c r="G191" s="10" t="str">
        <f t="shared" si="2"/>
        <v>11069B</v>
      </c>
    </row>
    <row r="192" spans="1:7" x14ac:dyDescent="0.25">
      <c r="A192">
        <f>IF(AND(Sheet2!B192=Sheet1!B$19,Sheet2!C192=Sheet1!C$19,Sheet2!D192=Sheet1!D$19),1,0)</f>
        <v>0</v>
      </c>
      <c r="B192" s="10" t="s">
        <v>214</v>
      </c>
      <c r="C192" s="11">
        <v>0.75</v>
      </c>
      <c r="D192" s="22">
        <v>15</v>
      </c>
      <c r="E192" s="22">
        <v>11070</v>
      </c>
      <c r="F192" s="10" t="s">
        <v>76</v>
      </c>
      <c r="G192" s="10" t="str">
        <f t="shared" si="2"/>
        <v>11070B</v>
      </c>
    </row>
    <row r="193" spans="1:7" x14ac:dyDescent="0.25">
      <c r="A193">
        <f>IF(AND(Sheet2!B193=Sheet1!B$19,Sheet2!C193=Sheet1!C$19,Sheet2!D193=Sheet1!D$19),1,0)</f>
        <v>0</v>
      </c>
      <c r="B193" s="10" t="s">
        <v>214</v>
      </c>
      <c r="C193" s="11">
        <v>0.75</v>
      </c>
      <c r="D193" s="22">
        <v>16</v>
      </c>
      <c r="E193" s="22">
        <v>11071</v>
      </c>
      <c r="F193" s="10" t="s">
        <v>76</v>
      </c>
      <c r="G193" s="10" t="str">
        <f t="shared" si="2"/>
        <v>11071B</v>
      </c>
    </row>
    <row r="194" spans="1:7" x14ac:dyDescent="0.25">
      <c r="A194">
        <f>IF(AND(Sheet2!B194=Sheet1!B$19,Sheet2!C194=Sheet1!C$19,Sheet2!D194=Sheet1!D$19),1,0)</f>
        <v>0</v>
      </c>
      <c r="B194" s="10" t="s">
        <v>214</v>
      </c>
      <c r="C194" s="11">
        <v>0.75</v>
      </c>
      <c r="D194" s="22">
        <v>17</v>
      </c>
      <c r="E194" s="22">
        <v>11072</v>
      </c>
      <c r="F194" s="10" t="s">
        <v>76</v>
      </c>
      <c r="G194" s="10" t="str">
        <f t="shared" si="2"/>
        <v>11072B</v>
      </c>
    </row>
    <row r="195" spans="1:7" x14ac:dyDescent="0.25">
      <c r="A195">
        <f>IF(AND(Sheet2!B195=Sheet1!B$19,Sheet2!C195=Sheet1!C$19,Sheet2!D195=Sheet1!D$19),1,0)</f>
        <v>0</v>
      </c>
      <c r="B195" s="10" t="s">
        <v>214</v>
      </c>
      <c r="C195" s="11">
        <v>0.75</v>
      </c>
      <c r="D195" s="22">
        <v>18</v>
      </c>
      <c r="E195" s="22">
        <v>11073</v>
      </c>
      <c r="F195" s="10" t="s">
        <v>76</v>
      </c>
      <c r="G195" s="10" t="str">
        <f t="shared" si="2"/>
        <v>11073B</v>
      </c>
    </row>
    <row r="196" spans="1:7" x14ac:dyDescent="0.25">
      <c r="A196">
        <f>IF(AND(Sheet2!B196=Sheet1!B$19,Sheet2!C196=Sheet1!C$19,Sheet2!D196=Sheet1!D$19),1,0)</f>
        <v>0</v>
      </c>
      <c r="B196" s="10" t="s">
        <v>214</v>
      </c>
      <c r="C196" s="11">
        <v>0.75</v>
      </c>
      <c r="D196" s="22">
        <v>19</v>
      </c>
      <c r="E196" s="22">
        <v>11074</v>
      </c>
      <c r="F196" s="10" t="s">
        <v>76</v>
      </c>
      <c r="G196" s="10" t="str">
        <f t="shared" si="2"/>
        <v>11074B</v>
      </c>
    </row>
    <row r="197" spans="1:7" x14ac:dyDescent="0.25">
      <c r="A197">
        <f>IF(AND(Sheet2!B197=Sheet1!B$19,Sheet2!C197=Sheet1!C$19,Sheet2!D197=Sheet1!D$19),1,0)</f>
        <v>0</v>
      </c>
      <c r="B197" s="10" t="s">
        <v>214</v>
      </c>
      <c r="C197" s="11">
        <v>0.75</v>
      </c>
      <c r="D197" s="22">
        <v>20</v>
      </c>
      <c r="E197" s="22">
        <v>11075</v>
      </c>
      <c r="F197" s="10" t="s">
        <v>76</v>
      </c>
      <c r="G197" s="10" t="str">
        <f t="shared" si="2"/>
        <v>11075B</v>
      </c>
    </row>
    <row r="198" spans="1:7" x14ac:dyDescent="0.25">
      <c r="A198">
        <f>IF(AND(Sheet2!B198=Sheet1!B$19,Sheet2!C198=Sheet1!C$19,Sheet2!D198=Sheet1!D$19),1,0)</f>
        <v>0</v>
      </c>
      <c r="B198" s="10" t="s">
        <v>214</v>
      </c>
      <c r="C198" s="11">
        <v>0.75</v>
      </c>
      <c r="D198" s="22">
        <v>21</v>
      </c>
      <c r="E198" s="22">
        <v>11386</v>
      </c>
      <c r="F198" s="10" t="s">
        <v>76</v>
      </c>
      <c r="G198" s="10" t="str">
        <f t="shared" si="2"/>
        <v>11386B</v>
      </c>
    </row>
    <row r="199" spans="1:7" x14ac:dyDescent="0.25">
      <c r="A199">
        <f>IF(AND(Sheet2!B199=Sheet1!B$19,Sheet2!C199=Sheet1!C$19,Sheet2!D199=Sheet1!D$19),1,0)</f>
        <v>0</v>
      </c>
      <c r="B199" s="10" t="s">
        <v>214</v>
      </c>
      <c r="C199" s="11">
        <v>0.75</v>
      </c>
      <c r="D199" s="22">
        <v>22</v>
      </c>
      <c r="E199" s="22">
        <v>11387</v>
      </c>
      <c r="F199" s="10" t="s">
        <v>76</v>
      </c>
      <c r="G199" s="10" t="str">
        <f t="shared" si="2"/>
        <v>11387B</v>
      </c>
    </row>
    <row r="200" spans="1:7" x14ac:dyDescent="0.25">
      <c r="A200">
        <f>IF(AND(Sheet2!B200=Sheet1!B$19,Sheet2!C200=Sheet1!C$19,Sheet2!D200=Sheet1!D$19),1,0)</f>
        <v>0</v>
      </c>
      <c r="B200" s="10" t="s">
        <v>214</v>
      </c>
      <c r="C200" s="11">
        <v>0.75</v>
      </c>
      <c r="D200" s="22">
        <v>23</v>
      </c>
      <c r="E200" s="22">
        <v>11388</v>
      </c>
      <c r="F200" s="10" t="s">
        <v>76</v>
      </c>
      <c r="G200" s="10" t="str">
        <f t="shared" si="2"/>
        <v>11388B</v>
      </c>
    </row>
    <row r="201" spans="1:7" x14ac:dyDescent="0.25">
      <c r="A201">
        <f>IF(AND(Sheet2!B201=Sheet1!B$19,Sheet2!C201=Sheet1!C$19,Sheet2!D201=Sheet1!D$19),1,0)</f>
        <v>0</v>
      </c>
      <c r="B201" s="10" t="s">
        <v>214</v>
      </c>
      <c r="C201" s="11">
        <v>0.75</v>
      </c>
      <c r="D201" s="22">
        <v>24</v>
      </c>
      <c r="E201" s="22">
        <v>11389</v>
      </c>
      <c r="F201" s="10" t="s">
        <v>76</v>
      </c>
      <c r="G201" s="10" t="str">
        <f t="shared" si="2"/>
        <v>11389B</v>
      </c>
    </row>
    <row r="202" spans="1:7" x14ac:dyDescent="0.25">
      <c r="A202">
        <f>IF(AND(Sheet2!B202=Sheet1!B$19,Sheet2!C202=Sheet1!C$19,Sheet2!D202=Sheet1!D$19),1,0)</f>
        <v>0</v>
      </c>
      <c r="B202" s="10" t="s">
        <v>214</v>
      </c>
      <c r="C202" s="11">
        <v>0.75</v>
      </c>
      <c r="D202" s="22">
        <v>25</v>
      </c>
      <c r="E202" s="22">
        <v>11390</v>
      </c>
      <c r="F202" s="10" t="s">
        <v>76</v>
      </c>
      <c r="G202" s="10" t="str">
        <f t="shared" si="2"/>
        <v>11390B</v>
      </c>
    </row>
    <row r="203" spans="1:7" x14ac:dyDescent="0.25">
      <c r="A203">
        <f>IF(AND(Sheet2!B203=Sheet1!B$19,Sheet2!C203=Sheet1!C$19,Sheet2!D203=Sheet1!D$19),1,0)</f>
        <v>0</v>
      </c>
      <c r="B203" s="10" t="s">
        <v>214</v>
      </c>
      <c r="C203" s="11">
        <v>0.75</v>
      </c>
      <c r="D203" s="22">
        <v>26</v>
      </c>
      <c r="E203" s="22">
        <v>11391</v>
      </c>
      <c r="F203" s="10" t="s">
        <v>76</v>
      </c>
      <c r="G203" s="10" t="str">
        <f t="shared" si="2"/>
        <v>11391B</v>
      </c>
    </row>
    <row r="204" spans="1:7" x14ac:dyDescent="0.25">
      <c r="A204">
        <f>IF(AND(Sheet2!B204=Sheet1!B$19,Sheet2!C204=Sheet1!C$19,Sheet2!D204=Sheet1!D$19),1,0)</f>
        <v>0</v>
      </c>
      <c r="B204" s="10" t="s">
        <v>214</v>
      </c>
      <c r="C204" s="11">
        <v>0.75</v>
      </c>
      <c r="D204" s="22">
        <v>27</v>
      </c>
      <c r="E204" s="22">
        <v>11392</v>
      </c>
      <c r="F204" s="10" t="s">
        <v>76</v>
      </c>
      <c r="G204" s="10" t="str">
        <f t="shared" si="2"/>
        <v>11392B</v>
      </c>
    </row>
    <row r="205" spans="1:7" x14ac:dyDescent="0.25">
      <c r="A205">
        <f>IF(AND(Sheet2!B205=Sheet1!B$19,Sheet2!C205=Sheet1!C$19,Sheet2!D205=Sheet1!D$19),1,0)</f>
        <v>0</v>
      </c>
      <c r="B205" s="10" t="s">
        <v>214</v>
      </c>
      <c r="C205" s="11">
        <v>0.75</v>
      </c>
      <c r="D205" s="22">
        <v>28</v>
      </c>
      <c r="E205" s="22">
        <v>11393</v>
      </c>
      <c r="F205" s="10" t="s">
        <v>76</v>
      </c>
      <c r="G205" s="10" t="str">
        <f t="shared" si="2"/>
        <v>11393B</v>
      </c>
    </row>
    <row r="206" spans="1:7" x14ac:dyDescent="0.25">
      <c r="A206">
        <f>IF(AND(Sheet2!B206=Sheet1!B$19,Sheet2!C206=Sheet1!C$19,Sheet2!D206=Sheet1!D$19),1,0)</f>
        <v>0</v>
      </c>
      <c r="B206" s="10" t="s">
        <v>214</v>
      </c>
      <c r="C206" s="11">
        <v>0.75</v>
      </c>
      <c r="D206" s="22">
        <v>29</v>
      </c>
      <c r="E206" s="22">
        <v>11394</v>
      </c>
      <c r="F206" s="10" t="s">
        <v>76</v>
      </c>
      <c r="G206" s="10" t="str">
        <f t="shared" si="2"/>
        <v>11394B</v>
      </c>
    </row>
    <row r="207" spans="1:7" x14ac:dyDescent="0.25">
      <c r="A207">
        <f>IF(AND(Sheet2!B207=Sheet1!B$19,Sheet2!C207=Sheet1!C$19,Sheet2!D207=Sheet1!D$19),1,0)</f>
        <v>0</v>
      </c>
      <c r="B207" s="10" t="s">
        <v>214</v>
      </c>
      <c r="C207" s="11">
        <v>0.75</v>
      </c>
      <c r="D207" s="22">
        <v>30</v>
      </c>
      <c r="E207" s="22">
        <v>11395</v>
      </c>
      <c r="F207" s="10" t="s">
        <v>76</v>
      </c>
      <c r="G207" s="10" t="str">
        <f t="shared" si="2"/>
        <v>11395B</v>
      </c>
    </row>
    <row r="208" spans="1:7" x14ac:dyDescent="0.25">
      <c r="A208">
        <f>IF(AND(Sheet2!B208=Sheet1!B$19,Sheet2!C208=Sheet1!C$19,Sheet2!D208=Sheet1!D$19),1,0)</f>
        <v>0</v>
      </c>
      <c r="B208" s="10" t="s">
        <v>214</v>
      </c>
      <c r="C208" s="11">
        <v>0.75</v>
      </c>
      <c r="D208" s="22">
        <v>31</v>
      </c>
      <c r="E208" s="22">
        <v>11396</v>
      </c>
      <c r="F208" s="10" t="s">
        <v>76</v>
      </c>
      <c r="G208" s="10" t="str">
        <f t="shared" si="2"/>
        <v>11396B</v>
      </c>
    </row>
    <row r="209" spans="1:7" x14ac:dyDescent="0.25">
      <c r="A209">
        <f>IF(AND(Sheet2!B209=Sheet1!B$19,Sheet2!C209=Sheet1!C$19,Sheet2!D209=Sheet1!D$19),1,0)</f>
        <v>0</v>
      </c>
      <c r="B209" s="10" t="s">
        <v>214</v>
      </c>
      <c r="C209" s="11">
        <v>0.75</v>
      </c>
      <c r="D209" s="22">
        <v>32</v>
      </c>
      <c r="E209" s="22">
        <v>11397</v>
      </c>
      <c r="F209" s="10" t="s">
        <v>76</v>
      </c>
      <c r="G209" s="10" t="str">
        <f t="shared" si="2"/>
        <v>11397B</v>
      </c>
    </row>
    <row r="210" spans="1:7" x14ac:dyDescent="0.25">
      <c r="A210">
        <f>IF(AND(Sheet2!B210=Sheet1!B$19,Sheet2!C210=Sheet1!C$19,Sheet2!D210=Sheet1!D$19),1,0)</f>
        <v>0</v>
      </c>
      <c r="B210" s="10" t="s">
        <v>214</v>
      </c>
      <c r="C210" s="11">
        <v>0.75</v>
      </c>
      <c r="D210" s="22">
        <v>33</v>
      </c>
      <c r="E210" s="22">
        <v>11398</v>
      </c>
      <c r="F210" s="10" t="s">
        <v>76</v>
      </c>
      <c r="G210" s="10" t="str">
        <f t="shared" si="2"/>
        <v>11398B</v>
      </c>
    </row>
    <row r="211" spans="1:7" x14ac:dyDescent="0.25">
      <c r="A211">
        <f>IF(AND(Sheet2!B211=Sheet1!B$19,Sheet2!C211=Sheet1!C$19,Sheet2!D211=Sheet1!D$19),1,0)</f>
        <v>0</v>
      </c>
      <c r="B211" s="10" t="s">
        <v>214</v>
      </c>
      <c r="C211" s="11">
        <v>0.75</v>
      </c>
      <c r="D211" s="22">
        <v>34</v>
      </c>
      <c r="E211" s="22">
        <v>11399</v>
      </c>
      <c r="F211" s="10" t="s">
        <v>76</v>
      </c>
      <c r="G211" s="10" t="str">
        <f t="shared" si="2"/>
        <v>11399B</v>
      </c>
    </row>
    <row r="212" spans="1:7" x14ac:dyDescent="0.25">
      <c r="A212">
        <f>IF(AND(Sheet2!B212=Sheet1!B$19,Sheet2!C212=Sheet1!C$19,Sheet2!D212=Sheet1!D$19),1,0)</f>
        <v>0</v>
      </c>
      <c r="B212" s="10" t="s">
        <v>214</v>
      </c>
      <c r="C212" s="11">
        <v>0.75</v>
      </c>
      <c r="D212" s="22">
        <v>35</v>
      </c>
      <c r="E212" s="22">
        <v>11400</v>
      </c>
      <c r="F212" s="10" t="s">
        <v>76</v>
      </c>
      <c r="G212" s="10" t="str">
        <f t="shared" si="2"/>
        <v>11400B</v>
      </c>
    </row>
    <row r="213" spans="1:7" x14ac:dyDescent="0.25">
      <c r="A213">
        <f>IF(AND(Sheet2!B213=Sheet1!B$19,Sheet2!C213=Sheet1!C$19,Sheet2!D213=Sheet1!D$19),1,0)</f>
        <v>0</v>
      </c>
      <c r="B213" s="10" t="s">
        <v>214</v>
      </c>
      <c r="C213" s="11">
        <v>0.75</v>
      </c>
      <c r="D213" s="22">
        <v>36</v>
      </c>
      <c r="E213" s="22">
        <v>11401</v>
      </c>
      <c r="F213" s="10" t="s">
        <v>76</v>
      </c>
      <c r="G213" s="10" t="str">
        <f t="shared" si="2"/>
        <v>11401B</v>
      </c>
    </row>
    <row r="214" spans="1:7" x14ac:dyDescent="0.25">
      <c r="A214">
        <f>IF(AND(Sheet2!B214=Sheet1!B$19,Sheet2!C214=Sheet1!C$19,Sheet2!D214=Sheet1!D$19),1,0)</f>
        <v>0</v>
      </c>
      <c r="B214" s="10" t="s">
        <v>214</v>
      </c>
      <c r="C214" s="11">
        <v>0.75</v>
      </c>
      <c r="D214" s="22">
        <v>37</v>
      </c>
      <c r="E214" s="22">
        <v>11402</v>
      </c>
      <c r="F214" s="10" t="s">
        <v>76</v>
      </c>
      <c r="G214" s="10" t="str">
        <f t="shared" si="2"/>
        <v>11402B</v>
      </c>
    </row>
    <row r="215" spans="1:7" x14ac:dyDescent="0.25">
      <c r="A215">
        <f>IF(AND(Sheet2!B215=Sheet1!B$19,Sheet2!C215=Sheet1!C$19,Sheet2!D215=Sheet1!D$19),1,0)</f>
        <v>0</v>
      </c>
      <c r="B215" s="10" t="s">
        <v>214</v>
      </c>
      <c r="C215" s="11">
        <v>0.75</v>
      </c>
      <c r="D215" s="22">
        <v>38</v>
      </c>
      <c r="E215" s="22">
        <v>11403</v>
      </c>
      <c r="F215" s="10" t="s">
        <v>76</v>
      </c>
      <c r="G215" s="10" t="str">
        <f t="shared" si="2"/>
        <v>11403B</v>
      </c>
    </row>
    <row r="216" spans="1:7" x14ac:dyDescent="0.25">
      <c r="A216">
        <f>IF(AND(Sheet2!B216=Sheet1!B$19,Sheet2!C216=Sheet1!C$19,Sheet2!D216=Sheet1!D$19),1,0)</f>
        <v>0</v>
      </c>
      <c r="B216" s="10" t="s">
        <v>214</v>
      </c>
      <c r="C216" s="11">
        <v>0.75</v>
      </c>
      <c r="D216" s="22">
        <v>39</v>
      </c>
      <c r="E216" s="22">
        <v>11404</v>
      </c>
      <c r="F216" s="10" t="s">
        <v>76</v>
      </c>
      <c r="G216" s="10" t="str">
        <f t="shared" si="2"/>
        <v>11404B</v>
      </c>
    </row>
    <row r="217" spans="1:7" x14ac:dyDescent="0.25">
      <c r="A217">
        <f>IF(AND(Sheet2!B217=Sheet1!B$19,Sheet2!C217=Sheet1!C$19,Sheet2!D217=Sheet1!D$19),1,0)</f>
        <v>0</v>
      </c>
      <c r="B217" s="10" t="s">
        <v>214</v>
      </c>
      <c r="C217" s="11">
        <v>0.75</v>
      </c>
      <c r="D217" s="22">
        <v>40</v>
      </c>
      <c r="E217" s="22">
        <v>11405</v>
      </c>
      <c r="F217" s="10" t="s">
        <v>76</v>
      </c>
      <c r="G217" s="10" t="str">
        <f t="shared" si="2"/>
        <v>11405B</v>
      </c>
    </row>
    <row r="218" spans="1:7" x14ac:dyDescent="0.25">
      <c r="A218">
        <f>IF(AND(Sheet2!B218=Sheet1!B$19,Sheet2!C218=Sheet1!C$19,Sheet2!D218=Sheet1!D$19),1,0)</f>
        <v>0</v>
      </c>
      <c r="B218" s="10" t="s">
        <v>214</v>
      </c>
      <c r="C218" s="11">
        <v>0.75</v>
      </c>
      <c r="D218" s="22">
        <v>41</v>
      </c>
      <c r="E218" s="22">
        <v>11406</v>
      </c>
      <c r="F218" s="10" t="s">
        <v>76</v>
      </c>
      <c r="G218" s="10" t="str">
        <f t="shared" si="2"/>
        <v>11406B</v>
      </c>
    </row>
    <row r="219" spans="1:7" x14ac:dyDescent="0.25">
      <c r="A219">
        <f>IF(AND(Sheet2!B219=Sheet1!B$19,Sheet2!C219=Sheet1!C$19,Sheet2!D219=Sheet1!D$19),1,0)</f>
        <v>0</v>
      </c>
      <c r="B219" s="10" t="s">
        <v>214</v>
      </c>
      <c r="C219" s="11">
        <v>0.75</v>
      </c>
      <c r="D219" s="22">
        <v>42</v>
      </c>
      <c r="E219" s="22">
        <v>11407</v>
      </c>
      <c r="F219" s="10" t="s">
        <v>76</v>
      </c>
      <c r="G219" s="10" t="str">
        <f t="shared" si="2"/>
        <v>11407B</v>
      </c>
    </row>
    <row r="220" spans="1:7" x14ac:dyDescent="0.25">
      <c r="A220">
        <f>IF(AND(Sheet2!B220=Sheet1!B$19,Sheet2!C220=Sheet1!C$19,Sheet2!D220=Sheet1!D$19),1,0)</f>
        <v>0</v>
      </c>
      <c r="B220" s="10" t="s">
        <v>214</v>
      </c>
      <c r="C220" s="11">
        <v>0.75</v>
      </c>
      <c r="D220" s="22">
        <v>43</v>
      </c>
      <c r="E220" s="22">
        <v>11408</v>
      </c>
      <c r="F220" s="10" t="s">
        <v>76</v>
      </c>
      <c r="G220" s="10" t="str">
        <f t="shared" si="2"/>
        <v>11408B</v>
      </c>
    </row>
    <row r="221" spans="1:7" x14ac:dyDescent="0.25">
      <c r="A221">
        <f>IF(AND(Sheet2!B221=Sheet1!B$19,Sheet2!C221=Sheet1!C$19,Sheet2!D221=Sheet1!D$19),1,0)</f>
        <v>0</v>
      </c>
      <c r="B221" s="10" t="s">
        <v>214</v>
      </c>
      <c r="C221" s="11">
        <v>0.75</v>
      </c>
      <c r="D221" s="22">
        <v>44</v>
      </c>
      <c r="E221" s="22">
        <v>11409</v>
      </c>
      <c r="F221" s="10" t="s">
        <v>76</v>
      </c>
      <c r="G221" s="10" t="str">
        <f t="shared" si="2"/>
        <v>11409B</v>
      </c>
    </row>
    <row r="222" spans="1:7" x14ac:dyDescent="0.25">
      <c r="A222">
        <f>IF(AND(Sheet2!B222=Sheet1!B$19,Sheet2!C222=Sheet1!C$19,Sheet2!D222=Sheet1!D$19),1,0)</f>
        <v>0</v>
      </c>
      <c r="B222" s="10" t="s">
        <v>214</v>
      </c>
      <c r="C222" s="11">
        <v>0.75</v>
      </c>
      <c r="D222" s="22">
        <v>45</v>
      </c>
      <c r="E222" s="22">
        <v>11410</v>
      </c>
      <c r="F222" s="10" t="s">
        <v>76</v>
      </c>
      <c r="G222" s="10" t="str">
        <f t="shared" si="2"/>
        <v>11410B</v>
      </c>
    </row>
    <row r="223" spans="1:7" x14ac:dyDescent="0.25">
      <c r="A223">
        <f>IF(AND(Sheet2!B223=Sheet1!B$19,Sheet2!C223=Sheet1!C$19,Sheet2!D223=Sheet1!D$19),1,0)</f>
        <v>0</v>
      </c>
      <c r="B223" s="10" t="s">
        <v>214</v>
      </c>
      <c r="C223" s="11">
        <v>0.75</v>
      </c>
      <c r="D223" s="22">
        <v>46</v>
      </c>
      <c r="E223" s="22">
        <v>11411</v>
      </c>
      <c r="F223" s="10" t="s">
        <v>76</v>
      </c>
      <c r="G223" s="10" t="str">
        <f t="shared" si="2"/>
        <v>11411B</v>
      </c>
    </row>
    <row r="224" spans="1:7" x14ac:dyDescent="0.25">
      <c r="A224">
        <f>IF(AND(Sheet2!B224=Sheet1!B$19,Sheet2!C224=Sheet1!C$19,Sheet2!D224=Sheet1!D$19),1,0)</f>
        <v>0</v>
      </c>
      <c r="B224" s="10" t="s">
        <v>214</v>
      </c>
      <c r="C224" s="11">
        <v>0.75</v>
      </c>
      <c r="D224" s="22">
        <v>47</v>
      </c>
      <c r="E224" s="22">
        <v>11412</v>
      </c>
      <c r="F224" s="10" t="s">
        <v>76</v>
      </c>
      <c r="G224" s="10" t="str">
        <f t="shared" si="2"/>
        <v>11412B</v>
      </c>
    </row>
    <row r="225" spans="1:7" x14ac:dyDescent="0.25">
      <c r="A225">
        <f>IF(AND(Sheet2!B225=Sheet1!B$19,Sheet2!C225=Sheet1!C$19,Sheet2!D225=Sheet1!D$19),1,0)</f>
        <v>0</v>
      </c>
      <c r="B225" s="10" t="s">
        <v>214</v>
      </c>
      <c r="C225" s="11">
        <v>0.75</v>
      </c>
      <c r="D225" s="22">
        <v>48</v>
      </c>
      <c r="E225" s="22">
        <v>11413</v>
      </c>
      <c r="F225" s="10" t="s">
        <v>76</v>
      </c>
      <c r="G225" s="10" t="str">
        <f t="shared" si="2"/>
        <v>11413B</v>
      </c>
    </row>
    <row r="226" spans="1:7" x14ac:dyDescent="0.25">
      <c r="A226">
        <f>IF(AND(Sheet2!B226=Sheet1!B$19,Sheet2!C226=Sheet1!C$19,Sheet2!D226=Sheet1!D$19),1,0)</f>
        <v>0</v>
      </c>
      <c r="B226" s="10" t="s">
        <v>214</v>
      </c>
      <c r="C226" s="11">
        <v>0.75</v>
      </c>
      <c r="D226" s="22">
        <v>49</v>
      </c>
      <c r="E226" s="22">
        <v>11414</v>
      </c>
      <c r="F226" s="10" t="s">
        <v>76</v>
      </c>
      <c r="G226" s="10" t="str">
        <f t="shared" si="2"/>
        <v>11414B</v>
      </c>
    </row>
    <row r="227" spans="1:7" x14ac:dyDescent="0.25">
      <c r="A227">
        <f>IF(AND(Sheet2!B227=Sheet1!B$19,Sheet2!C227=Sheet1!C$19,Sheet2!D227=Sheet1!D$19),1,0)</f>
        <v>0</v>
      </c>
      <c r="B227" s="10" t="s">
        <v>214</v>
      </c>
      <c r="C227" s="11">
        <v>0.75</v>
      </c>
      <c r="D227" s="22">
        <v>50</v>
      </c>
      <c r="E227" s="22">
        <v>11415</v>
      </c>
      <c r="F227" s="10" t="s">
        <v>76</v>
      </c>
      <c r="G227" s="10" t="str">
        <f t="shared" si="2"/>
        <v>11415B</v>
      </c>
    </row>
    <row r="228" spans="1:7" x14ac:dyDescent="0.25">
      <c r="A228">
        <f>IF(AND(Sheet2!B228=Sheet1!B$19,Sheet2!C228=Sheet1!C$19,Sheet2!D228=Sheet1!D$19),1,0)</f>
        <v>0</v>
      </c>
      <c r="B228" s="10" t="s">
        <v>214</v>
      </c>
      <c r="C228" s="11">
        <v>0.75</v>
      </c>
      <c r="D228" s="22">
        <v>51</v>
      </c>
      <c r="E228" s="22">
        <v>11416</v>
      </c>
      <c r="F228" s="10" t="s">
        <v>76</v>
      </c>
      <c r="G228" s="10" t="str">
        <f t="shared" si="2"/>
        <v>11416B</v>
      </c>
    </row>
    <row r="229" spans="1:7" x14ac:dyDescent="0.25">
      <c r="A229">
        <f>IF(AND(Sheet2!B229=Sheet1!B$19,Sheet2!C229=Sheet1!C$19,Sheet2!D229=Sheet1!D$19),1,0)</f>
        <v>0</v>
      </c>
      <c r="B229" s="10" t="s">
        <v>214</v>
      </c>
      <c r="C229" s="11">
        <v>0.75</v>
      </c>
      <c r="D229" s="22">
        <v>52</v>
      </c>
      <c r="E229" s="22">
        <v>11417</v>
      </c>
      <c r="F229" s="10" t="s">
        <v>76</v>
      </c>
      <c r="G229" s="10" t="str">
        <f t="shared" si="2"/>
        <v>11417B</v>
      </c>
    </row>
    <row r="230" spans="1:7" x14ac:dyDescent="0.25">
      <c r="A230">
        <f>IF(AND(Sheet2!B230=Sheet1!B$19,Sheet2!C230=Sheet1!C$19,Sheet2!D230=Sheet1!D$19),1,0)</f>
        <v>0</v>
      </c>
      <c r="B230" s="10" t="s">
        <v>214</v>
      </c>
      <c r="C230" s="11">
        <v>0.75</v>
      </c>
      <c r="D230" s="22">
        <v>53</v>
      </c>
      <c r="E230" s="22">
        <v>11418</v>
      </c>
      <c r="F230" s="10" t="s">
        <v>76</v>
      </c>
      <c r="G230" s="10" t="str">
        <f t="shared" si="2"/>
        <v>11418B</v>
      </c>
    </row>
    <row r="231" spans="1:7" x14ac:dyDescent="0.25">
      <c r="A231">
        <f>IF(AND(Sheet2!B231=Sheet1!B$19,Sheet2!C231=Sheet1!C$19,Sheet2!D231=Sheet1!D$19),1,0)</f>
        <v>0</v>
      </c>
      <c r="B231" s="10" t="s">
        <v>214</v>
      </c>
      <c r="C231" s="11">
        <v>0.75</v>
      </c>
      <c r="D231" s="22">
        <v>54</v>
      </c>
      <c r="E231" s="22">
        <v>11419</v>
      </c>
      <c r="F231" s="10" t="s">
        <v>76</v>
      </c>
      <c r="G231" s="10" t="str">
        <f t="shared" si="2"/>
        <v>11419B</v>
      </c>
    </row>
    <row r="232" spans="1:7" x14ac:dyDescent="0.25">
      <c r="A232">
        <f>IF(AND(Sheet2!B232=Sheet1!B$19,Sheet2!C232=Sheet1!C$19,Sheet2!D232=Sheet1!D$19),1,0)</f>
        <v>0</v>
      </c>
      <c r="B232" s="10" t="s">
        <v>214</v>
      </c>
      <c r="C232" s="11">
        <v>0.75</v>
      </c>
      <c r="D232" s="22">
        <v>55</v>
      </c>
      <c r="E232" s="22">
        <v>11420</v>
      </c>
      <c r="F232" s="10" t="s">
        <v>76</v>
      </c>
      <c r="G232" s="10" t="str">
        <f t="shared" si="2"/>
        <v>11420B</v>
      </c>
    </row>
    <row r="233" spans="1:7" x14ac:dyDescent="0.25">
      <c r="A233">
        <f>IF(AND(Sheet2!B233=Sheet1!B$19,Sheet2!C233=Sheet1!C$19,Sheet2!D233=Sheet1!D$19),1,0)</f>
        <v>0</v>
      </c>
      <c r="B233" s="10" t="s">
        <v>214</v>
      </c>
      <c r="C233" s="11">
        <v>0.75</v>
      </c>
      <c r="D233" s="22">
        <v>56</v>
      </c>
      <c r="E233" s="22">
        <v>11421</v>
      </c>
      <c r="F233" s="10" t="s">
        <v>76</v>
      </c>
      <c r="G233" s="10" t="str">
        <f t="shared" si="2"/>
        <v>11421B</v>
      </c>
    </row>
    <row r="234" spans="1:7" x14ac:dyDescent="0.25">
      <c r="A234">
        <f>IF(AND(Sheet2!B234=Sheet1!B$19,Sheet2!C234=Sheet1!C$19,Sheet2!D234=Sheet1!D$19),1,0)</f>
        <v>0</v>
      </c>
      <c r="B234" s="10" t="s">
        <v>214</v>
      </c>
      <c r="C234" s="11">
        <v>0.75</v>
      </c>
      <c r="D234" s="22">
        <v>57</v>
      </c>
      <c r="E234" s="22">
        <v>11422</v>
      </c>
      <c r="F234" s="10" t="s">
        <v>76</v>
      </c>
      <c r="G234" s="10" t="str">
        <f t="shared" si="2"/>
        <v>11422B</v>
      </c>
    </row>
    <row r="235" spans="1:7" x14ac:dyDescent="0.25">
      <c r="A235">
        <f>IF(AND(Sheet2!B235=Sheet1!B$19,Sheet2!C235=Sheet1!C$19,Sheet2!D235=Sheet1!D$19),1,0)</f>
        <v>0</v>
      </c>
      <c r="B235" s="10" t="s">
        <v>214</v>
      </c>
      <c r="C235" s="11">
        <v>0.75</v>
      </c>
      <c r="D235" s="22">
        <v>58</v>
      </c>
      <c r="E235" s="22">
        <v>11423</v>
      </c>
      <c r="F235" s="10" t="s">
        <v>76</v>
      </c>
      <c r="G235" s="10" t="str">
        <f t="shared" si="2"/>
        <v>11423B</v>
      </c>
    </row>
    <row r="236" spans="1:7" x14ac:dyDescent="0.25">
      <c r="A236">
        <f>IF(AND(Sheet2!B236=Sheet1!B$19,Sheet2!C236=Sheet1!C$19,Sheet2!D236=Sheet1!D$19),1,0)</f>
        <v>0</v>
      </c>
      <c r="B236" s="10" t="s">
        <v>214</v>
      </c>
      <c r="C236" s="11">
        <v>0.75</v>
      </c>
      <c r="D236" s="22">
        <v>59</v>
      </c>
      <c r="E236" s="22">
        <v>11424</v>
      </c>
      <c r="F236" s="10" t="s">
        <v>76</v>
      </c>
      <c r="G236" s="10" t="str">
        <f t="shared" si="2"/>
        <v>11424B</v>
      </c>
    </row>
    <row r="237" spans="1:7" x14ac:dyDescent="0.25">
      <c r="A237">
        <f>IF(AND(Sheet2!B237=Sheet1!B$19,Sheet2!C237=Sheet1!C$19,Sheet2!D237=Sheet1!D$19),1,0)</f>
        <v>0</v>
      </c>
      <c r="B237" s="10" t="s">
        <v>214</v>
      </c>
      <c r="C237" s="11">
        <v>0.75</v>
      </c>
      <c r="D237" s="22">
        <v>60</v>
      </c>
      <c r="E237" s="22">
        <v>11425</v>
      </c>
      <c r="F237" s="10" t="s">
        <v>76</v>
      </c>
      <c r="G237" s="10" t="str">
        <f t="shared" si="2"/>
        <v>11425B</v>
      </c>
    </row>
    <row r="238" spans="1:7" x14ac:dyDescent="0.25">
      <c r="A238">
        <f>IF(AND(Sheet2!B238=Sheet1!B$19,Sheet2!C238=Sheet1!C$19,Sheet2!D238=Sheet1!D$19),1,0)</f>
        <v>0</v>
      </c>
      <c r="B238" s="10" t="s">
        <v>214</v>
      </c>
      <c r="C238" s="11">
        <v>1</v>
      </c>
      <c r="D238" s="22">
        <v>2</v>
      </c>
      <c r="E238" s="22">
        <v>11076</v>
      </c>
      <c r="F238" s="10" t="s">
        <v>74</v>
      </c>
      <c r="G238" s="10" t="str">
        <f t="shared" si="2"/>
        <v>11076A</v>
      </c>
    </row>
    <row r="239" spans="1:7" x14ac:dyDescent="0.25">
      <c r="A239">
        <f>IF(AND(Sheet2!B239=Sheet1!B$19,Sheet2!C239=Sheet1!C$19,Sheet2!D239=Sheet1!D$19),1,0)</f>
        <v>0</v>
      </c>
      <c r="B239" s="10" t="s">
        <v>214</v>
      </c>
      <c r="C239" s="11">
        <v>1</v>
      </c>
      <c r="D239" s="22">
        <v>3</v>
      </c>
      <c r="E239" s="22">
        <v>11077</v>
      </c>
      <c r="F239" s="10" t="s">
        <v>74</v>
      </c>
      <c r="G239" s="10" t="str">
        <f t="shared" si="2"/>
        <v>11077A</v>
      </c>
    </row>
    <row r="240" spans="1:7" x14ac:dyDescent="0.25">
      <c r="A240">
        <f>IF(AND(Sheet2!B240=Sheet1!B$19,Sheet2!C240=Sheet1!C$19,Sheet2!D240=Sheet1!D$19),1,0)</f>
        <v>0</v>
      </c>
      <c r="B240" s="10" t="s">
        <v>214</v>
      </c>
      <c r="C240" s="11">
        <v>1</v>
      </c>
      <c r="D240" s="22">
        <v>4</v>
      </c>
      <c r="E240" s="22">
        <v>11078</v>
      </c>
      <c r="F240" s="10" t="s">
        <v>74</v>
      </c>
      <c r="G240" s="10" t="str">
        <f t="shared" si="2"/>
        <v>11078A</v>
      </c>
    </row>
    <row r="241" spans="1:7" x14ac:dyDescent="0.25">
      <c r="A241">
        <f>IF(AND(Sheet2!B241=Sheet1!B$19,Sheet2!C241=Sheet1!C$19,Sheet2!D241=Sheet1!D$19),1,0)</f>
        <v>0</v>
      </c>
      <c r="B241" s="10" t="s">
        <v>214</v>
      </c>
      <c r="C241" s="11">
        <v>1</v>
      </c>
      <c r="D241" s="22">
        <v>5</v>
      </c>
      <c r="E241" s="22">
        <v>11079</v>
      </c>
      <c r="F241" s="10" t="s">
        <v>74</v>
      </c>
      <c r="G241" s="10" t="str">
        <f t="shared" si="2"/>
        <v>11079A</v>
      </c>
    </row>
    <row r="242" spans="1:7" x14ac:dyDescent="0.25">
      <c r="A242">
        <f>IF(AND(Sheet2!B242=Sheet1!B$19,Sheet2!C242=Sheet1!C$19,Sheet2!D242=Sheet1!D$19),1,0)</f>
        <v>0</v>
      </c>
      <c r="B242" s="10" t="s">
        <v>214</v>
      </c>
      <c r="C242" s="11">
        <v>1</v>
      </c>
      <c r="D242" s="22">
        <v>6</v>
      </c>
      <c r="E242" s="22">
        <v>11080</v>
      </c>
      <c r="F242" s="10" t="s">
        <v>74</v>
      </c>
      <c r="G242" s="10" t="str">
        <f t="shared" si="2"/>
        <v>11080A</v>
      </c>
    </row>
    <row r="243" spans="1:7" x14ac:dyDescent="0.25">
      <c r="A243">
        <f>IF(AND(Sheet2!B243=Sheet1!B$19,Sheet2!C243=Sheet1!C$19,Sheet2!D243=Sheet1!D$19),1,0)</f>
        <v>0</v>
      </c>
      <c r="B243" s="10" t="s">
        <v>214</v>
      </c>
      <c r="C243" s="11">
        <v>1</v>
      </c>
      <c r="D243" s="22">
        <v>7</v>
      </c>
      <c r="E243" s="22">
        <v>11081</v>
      </c>
      <c r="F243" s="10" t="s">
        <v>74</v>
      </c>
      <c r="G243" s="10" t="str">
        <f t="shared" si="2"/>
        <v>11081A</v>
      </c>
    </row>
    <row r="244" spans="1:7" x14ac:dyDescent="0.25">
      <c r="A244">
        <f>IF(AND(Sheet2!B244=Sheet1!B$19,Sheet2!C244=Sheet1!C$19,Sheet2!D244=Sheet1!D$19),1,0)</f>
        <v>0</v>
      </c>
      <c r="B244" s="10" t="s">
        <v>214</v>
      </c>
      <c r="C244" s="11">
        <v>1</v>
      </c>
      <c r="D244" s="22">
        <v>8</v>
      </c>
      <c r="E244" s="22">
        <v>11082</v>
      </c>
      <c r="F244" s="10" t="s">
        <v>74</v>
      </c>
      <c r="G244" s="10" t="str">
        <f t="shared" si="2"/>
        <v>11082A</v>
      </c>
    </row>
    <row r="245" spans="1:7" x14ac:dyDescent="0.25">
      <c r="A245">
        <f>IF(AND(Sheet2!B245=Sheet1!B$19,Sheet2!C245=Sheet1!C$19,Sheet2!D245=Sheet1!D$19),1,0)</f>
        <v>0</v>
      </c>
      <c r="B245" s="10" t="s">
        <v>214</v>
      </c>
      <c r="C245" s="11">
        <v>1</v>
      </c>
      <c r="D245" s="22">
        <v>9</v>
      </c>
      <c r="E245" s="22">
        <v>11083</v>
      </c>
      <c r="F245" s="10" t="s">
        <v>74</v>
      </c>
      <c r="G245" s="10" t="str">
        <f t="shared" si="2"/>
        <v>11083A</v>
      </c>
    </row>
    <row r="246" spans="1:7" x14ac:dyDescent="0.25">
      <c r="A246">
        <f>IF(AND(Sheet2!B246=Sheet1!B$19,Sheet2!C246=Sheet1!C$19,Sheet2!D246=Sheet1!D$19),1,0)</f>
        <v>0</v>
      </c>
      <c r="B246" s="10" t="s">
        <v>214</v>
      </c>
      <c r="C246" s="11">
        <v>1</v>
      </c>
      <c r="D246" s="22">
        <v>10</v>
      </c>
      <c r="E246" s="22">
        <v>11084</v>
      </c>
      <c r="F246" s="10" t="s">
        <v>74</v>
      </c>
      <c r="G246" s="10" t="str">
        <f t="shared" si="2"/>
        <v>11084A</v>
      </c>
    </row>
    <row r="247" spans="1:7" x14ac:dyDescent="0.25">
      <c r="A247">
        <f>IF(AND(Sheet2!B247=Sheet1!B$19,Sheet2!C247=Sheet1!C$19,Sheet2!D247=Sheet1!D$19),1,0)</f>
        <v>0</v>
      </c>
      <c r="B247" s="10" t="s">
        <v>214</v>
      </c>
      <c r="C247" s="11">
        <v>1</v>
      </c>
      <c r="D247" s="22">
        <v>11</v>
      </c>
      <c r="E247" s="22">
        <v>11085</v>
      </c>
      <c r="F247" s="10" t="s">
        <v>74</v>
      </c>
      <c r="G247" s="10" t="str">
        <f t="shared" si="2"/>
        <v>11085A</v>
      </c>
    </row>
    <row r="248" spans="1:7" x14ac:dyDescent="0.25">
      <c r="A248">
        <f>IF(AND(Sheet2!B248=Sheet1!B$19,Sheet2!C248=Sheet1!C$19,Sheet2!D248=Sheet1!D$19),1,0)</f>
        <v>0</v>
      </c>
      <c r="B248" s="10" t="s">
        <v>214</v>
      </c>
      <c r="C248" s="11">
        <v>1</v>
      </c>
      <c r="D248" s="22">
        <v>12</v>
      </c>
      <c r="E248" s="22">
        <v>11086</v>
      </c>
      <c r="F248" s="10" t="s">
        <v>74</v>
      </c>
      <c r="G248" s="10" t="str">
        <f t="shared" si="2"/>
        <v>11086A</v>
      </c>
    </row>
    <row r="249" spans="1:7" x14ac:dyDescent="0.25">
      <c r="A249">
        <f>IF(AND(Sheet2!B249=Sheet1!B$19,Sheet2!C249=Sheet1!C$19,Sheet2!D249=Sheet1!D$19),1,0)</f>
        <v>0</v>
      </c>
      <c r="B249" s="10" t="s">
        <v>214</v>
      </c>
      <c r="C249" s="11">
        <v>1</v>
      </c>
      <c r="D249" s="22">
        <v>13</v>
      </c>
      <c r="E249" s="22">
        <v>11087</v>
      </c>
      <c r="F249" s="10" t="s">
        <v>74</v>
      </c>
      <c r="G249" s="10" t="str">
        <f t="shared" si="2"/>
        <v>11087A</v>
      </c>
    </row>
    <row r="250" spans="1:7" x14ac:dyDescent="0.25">
      <c r="A250">
        <f>IF(AND(Sheet2!B250=Sheet1!B$19,Sheet2!C250=Sheet1!C$19,Sheet2!D250=Sheet1!D$19),1,0)</f>
        <v>0</v>
      </c>
      <c r="B250" s="10" t="s">
        <v>214</v>
      </c>
      <c r="C250" s="11">
        <v>1</v>
      </c>
      <c r="D250" s="22">
        <v>14</v>
      </c>
      <c r="E250" s="22">
        <v>11088</v>
      </c>
      <c r="F250" s="10" t="s">
        <v>74</v>
      </c>
      <c r="G250" s="10" t="str">
        <f t="shared" si="2"/>
        <v>11088A</v>
      </c>
    </row>
    <row r="251" spans="1:7" x14ac:dyDescent="0.25">
      <c r="A251">
        <f>IF(AND(Sheet2!B251=Sheet1!B$19,Sheet2!C251=Sheet1!C$19,Sheet2!D251=Sheet1!D$19),1,0)</f>
        <v>0</v>
      </c>
      <c r="B251" s="10" t="s">
        <v>214</v>
      </c>
      <c r="C251" s="11">
        <v>1</v>
      </c>
      <c r="D251" s="22">
        <v>15</v>
      </c>
      <c r="E251" s="22">
        <v>11089</v>
      </c>
      <c r="F251" s="10" t="s">
        <v>74</v>
      </c>
      <c r="G251" s="10" t="str">
        <f t="shared" si="2"/>
        <v>11089A</v>
      </c>
    </row>
    <row r="252" spans="1:7" x14ac:dyDescent="0.25">
      <c r="A252">
        <f>IF(AND(Sheet2!B252=Sheet1!B$19,Sheet2!C252=Sheet1!C$19,Sheet2!D252=Sheet1!D$19),1,0)</f>
        <v>0</v>
      </c>
      <c r="B252" s="10" t="s">
        <v>214</v>
      </c>
      <c r="C252" s="11">
        <v>1</v>
      </c>
      <c r="D252" s="22">
        <v>16</v>
      </c>
      <c r="E252" s="22">
        <v>11090</v>
      </c>
      <c r="F252" s="10" t="s">
        <v>74</v>
      </c>
      <c r="G252" s="10" t="str">
        <f t="shared" si="2"/>
        <v>11090A</v>
      </c>
    </row>
    <row r="253" spans="1:7" x14ac:dyDescent="0.25">
      <c r="A253">
        <f>IF(AND(Sheet2!B253=Sheet1!B$19,Sheet2!C253=Sheet1!C$19,Sheet2!D253=Sheet1!D$19),1,0)</f>
        <v>0</v>
      </c>
      <c r="B253" s="10" t="s">
        <v>214</v>
      </c>
      <c r="C253" s="11">
        <v>1</v>
      </c>
      <c r="D253" s="22">
        <v>17</v>
      </c>
      <c r="E253" s="22">
        <v>11091</v>
      </c>
      <c r="F253" s="10" t="s">
        <v>74</v>
      </c>
      <c r="G253" s="10" t="str">
        <f t="shared" si="2"/>
        <v>11091A</v>
      </c>
    </row>
    <row r="254" spans="1:7" x14ac:dyDescent="0.25">
      <c r="A254">
        <f>IF(AND(Sheet2!B254=Sheet1!B$19,Sheet2!C254=Sheet1!C$19,Sheet2!D254=Sheet1!D$19),1,0)</f>
        <v>0</v>
      </c>
      <c r="B254" s="10" t="s">
        <v>214</v>
      </c>
      <c r="C254" s="11">
        <v>1</v>
      </c>
      <c r="D254" s="22">
        <v>18</v>
      </c>
      <c r="E254" s="22">
        <v>11092</v>
      </c>
      <c r="F254" s="10" t="s">
        <v>74</v>
      </c>
      <c r="G254" s="10" t="str">
        <f t="shared" si="2"/>
        <v>11092A</v>
      </c>
    </row>
    <row r="255" spans="1:7" x14ac:dyDescent="0.25">
      <c r="A255">
        <f>IF(AND(Sheet2!B255=Sheet1!B$19,Sheet2!C255=Sheet1!C$19,Sheet2!D255=Sheet1!D$19),1,0)</f>
        <v>0</v>
      </c>
      <c r="B255" s="10" t="s">
        <v>214</v>
      </c>
      <c r="C255" s="11">
        <v>1</v>
      </c>
      <c r="D255" s="22">
        <v>19</v>
      </c>
      <c r="E255" s="22">
        <v>11093</v>
      </c>
      <c r="F255" s="10" t="s">
        <v>74</v>
      </c>
      <c r="G255" s="10" t="str">
        <f t="shared" si="2"/>
        <v>11093A</v>
      </c>
    </row>
    <row r="256" spans="1:7" x14ac:dyDescent="0.25">
      <c r="A256">
        <f>IF(AND(Sheet2!B256=Sheet1!B$19,Sheet2!C256=Sheet1!C$19,Sheet2!D256=Sheet1!D$19),1,0)</f>
        <v>0</v>
      </c>
      <c r="B256" s="10" t="s">
        <v>214</v>
      </c>
      <c r="C256" s="11">
        <v>1</v>
      </c>
      <c r="D256" s="22">
        <v>20</v>
      </c>
      <c r="E256" s="22">
        <v>11094</v>
      </c>
      <c r="F256" s="10" t="s">
        <v>74</v>
      </c>
      <c r="G256" s="10" t="str">
        <f t="shared" si="2"/>
        <v>11094A</v>
      </c>
    </row>
    <row r="257" spans="1:7" x14ac:dyDescent="0.25">
      <c r="A257">
        <f>IF(AND(Sheet2!B257=Sheet1!B$19,Sheet2!C257=Sheet1!C$19,Sheet2!D257=Sheet1!D$19),1,0)</f>
        <v>0</v>
      </c>
      <c r="B257" s="10" t="s">
        <v>214</v>
      </c>
      <c r="C257" s="11">
        <v>1</v>
      </c>
      <c r="D257" s="22">
        <v>21</v>
      </c>
      <c r="E257" s="22">
        <v>11426</v>
      </c>
      <c r="F257" s="10" t="s">
        <v>74</v>
      </c>
      <c r="G257" s="10" t="str">
        <f t="shared" si="2"/>
        <v>11426A</v>
      </c>
    </row>
    <row r="258" spans="1:7" x14ac:dyDescent="0.25">
      <c r="A258">
        <f>IF(AND(Sheet2!B258=Sheet1!B$19,Sheet2!C258=Sheet1!C$19,Sheet2!D258=Sheet1!D$19),1,0)</f>
        <v>0</v>
      </c>
      <c r="B258" s="10" t="s">
        <v>214</v>
      </c>
      <c r="C258" s="11">
        <v>1</v>
      </c>
      <c r="D258" s="22">
        <v>22</v>
      </c>
      <c r="E258" s="22">
        <v>11427</v>
      </c>
      <c r="F258" s="10" t="s">
        <v>74</v>
      </c>
      <c r="G258" s="10" t="str">
        <f t="shared" si="2"/>
        <v>11427A</v>
      </c>
    </row>
    <row r="259" spans="1:7" x14ac:dyDescent="0.25">
      <c r="A259">
        <f>IF(AND(Sheet2!B259=Sheet1!B$19,Sheet2!C259=Sheet1!C$19,Sheet2!D259=Sheet1!D$19),1,0)</f>
        <v>0</v>
      </c>
      <c r="B259" s="10" t="s">
        <v>214</v>
      </c>
      <c r="C259" s="11">
        <v>1</v>
      </c>
      <c r="D259" s="22">
        <v>23</v>
      </c>
      <c r="E259" s="22">
        <v>11428</v>
      </c>
      <c r="F259" s="10" t="s">
        <v>74</v>
      </c>
      <c r="G259" s="10" t="str">
        <f t="shared" si="2"/>
        <v>11428A</v>
      </c>
    </row>
    <row r="260" spans="1:7" x14ac:dyDescent="0.25">
      <c r="A260">
        <f>IF(AND(Sheet2!B260=Sheet1!B$19,Sheet2!C260=Sheet1!C$19,Sheet2!D260=Sheet1!D$19),1,0)</f>
        <v>0</v>
      </c>
      <c r="B260" s="10" t="s">
        <v>214</v>
      </c>
      <c r="C260" s="11">
        <v>1</v>
      </c>
      <c r="D260" s="22">
        <v>24</v>
      </c>
      <c r="E260" s="22">
        <v>11429</v>
      </c>
      <c r="F260" s="10" t="s">
        <v>74</v>
      </c>
      <c r="G260" s="10" t="str">
        <f t="shared" si="2"/>
        <v>11429A</v>
      </c>
    </row>
    <row r="261" spans="1:7" x14ac:dyDescent="0.25">
      <c r="A261">
        <f>IF(AND(Sheet2!B261=Sheet1!B$19,Sheet2!C261=Sheet1!C$19,Sheet2!D261=Sheet1!D$19),1,0)</f>
        <v>0</v>
      </c>
      <c r="B261" s="10" t="s">
        <v>214</v>
      </c>
      <c r="C261" s="11">
        <v>1</v>
      </c>
      <c r="D261" s="22">
        <v>25</v>
      </c>
      <c r="E261" s="22">
        <v>11430</v>
      </c>
      <c r="F261" s="10" t="s">
        <v>74</v>
      </c>
      <c r="G261" s="10" t="str">
        <f t="shared" si="2"/>
        <v>11430A</v>
      </c>
    </row>
    <row r="262" spans="1:7" x14ac:dyDescent="0.25">
      <c r="A262">
        <f>IF(AND(Sheet2!B262=Sheet1!B$19,Sheet2!C262=Sheet1!C$19,Sheet2!D262=Sheet1!D$19),1,0)</f>
        <v>0</v>
      </c>
      <c r="B262" s="10" t="s">
        <v>214</v>
      </c>
      <c r="C262" s="11">
        <v>1</v>
      </c>
      <c r="D262" s="22">
        <v>26</v>
      </c>
      <c r="E262" s="22">
        <v>11431</v>
      </c>
      <c r="F262" s="10" t="s">
        <v>74</v>
      </c>
      <c r="G262" s="10" t="str">
        <f t="shared" si="2"/>
        <v>11431A</v>
      </c>
    </row>
    <row r="263" spans="1:7" x14ac:dyDescent="0.25">
      <c r="A263">
        <f>IF(AND(Sheet2!B263=Sheet1!B$19,Sheet2!C263=Sheet1!C$19,Sheet2!D263=Sheet1!D$19),1,0)</f>
        <v>0</v>
      </c>
      <c r="B263" s="10" t="s">
        <v>214</v>
      </c>
      <c r="C263" s="11">
        <v>1</v>
      </c>
      <c r="D263" s="22">
        <v>27</v>
      </c>
      <c r="E263" s="22">
        <v>11432</v>
      </c>
      <c r="F263" s="10" t="s">
        <v>74</v>
      </c>
      <c r="G263" s="10" t="str">
        <f t="shared" si="2"/>
        <v>11432A</v>
      </c>
    </row>
    <row r="264" spans="1:7" x14ac:dyDescent="0.25">
      <c r="A264">
        <f>IF(AND(Sheet2!B264=Sheet1!B$19,Sheet2!C264=Sheet1!C$19,Sheet2!D264=Sheet1!D$19),1,0)</f>
        <v>0</v>
      </c>
      <c r="B264" s="10" t="s">
        <v>214</v>
      </c>
      <c r="C264" s="11">
        <v>1</v>
      </c>
      <c r="D264" s="22">
        <v>28</v>
      </c>
      <c r="E264" s="22">
        <v>11433</v>
      </c>
      <c r="F264" s="10" t="s">
        <v>74</v>
      </c>
      <c r="G264" s="10" t="str">
        <f t="shared" si="2"/>
        <v>11433A</v>
      </c>
    </row>
    <row r="265" spans="1:7" x14ac:dyDescent="0.25">
      <c r="A265">
        <f>IF(AND(Sheet2!B265=Sheet1!B$19,Sheet2!C265=Sheet1!C$19,Sheet2!D265=Sheet1!D$19),1,0)</f>
        <v>0</v>
      </c>
      <c r="B265" s="10" t="s">
        <v>214</v>
      </c>
      <c r="C265" s="11">
        <v>1</v>
      </c>
      <c r="D265" s="22">
        <v>29</v>
      </c>
      <c r="E265" s="22">
        <v>11434</v>
      </c>
      <c r="F265" s="10" t="s">
        <v>74</v>
      </c>
      <c r="G265" s="10" t="str">
        <f t="shared" si="2"/>
        <v>11434A</v>
      </c>
    </row>
    <row r="266" spans="1:7" x14ac:dyDescent="0.25">
      <c r="A266">
        <f>IF(AND(Sheet2!B266=Sheet1!B$19,Sheet2!C266=Sheet1!C$19,Sheet2!D266=Sheet1!D$19),1,0)</f>
        <v>0</v>
      </c>
      <c r="B266" s="10" t="s">
        <v>214</v>
      </c>
      <c r="C266" s="11">
        <v>1</v>
      </c>
      <c r="D266" s="22">
        <v>30</v>
      </c>
      <c r="E266" s="22">
        <v>11435</v>
      </c>
      <c r="F266" s="10" t="s">
        <v>74</v>
      </c>
      <c r="G266" s="10" t="str">
        <f t="shared" si="2"/>
        <v>11435A</v>
      </c>
    </row>
    <row r="267" spans="1:7" x14ac:dyDescent="0.25">
      <c r="A267">
        <f>IF(AND(Sheet2!B267=Sheet1!B$19,Sheet2!C267=Sheet1!C$19,Sheet2!D267=Sheet1!D$19),1,0)</f>
        <v>0</v>
      </c>
      <c r="B267" s="10" t="s">
        <v>214</v>
      </c>
      <c r="C267" s="11">
        <v>1</v>
      </c>
      <c r="D267" s="22">
        <v>31</v>
      </c>
      <c r="E267" s="22">
        <v>11436</v>
      </c>
      <c r="F267" s="10" t="s">
        <v>74</v>
      </c>
      <c r="G267" s="10" t="str">
        <f t="shared" si="2"/>
        <v>11436A</v>
      </c>
    </row>
    <row r="268" spans="1:7" x14ac:dyDescent="0.25">
      <c r="A268">
        <f>IF(AND(Sheet2!B268=Sheet1!B$19,Sheet2!C268=Sheet1!C$19,Sheet2!D268=Sheet1!D$19),1,0)</f>
        <v>0</v>
      </c>
      <c r="B268" s="10" t="s">
        <v>214</v>
      </c>
      <c r="C268" s="11">
        <v>1</v>
      </c>
      <c r="D268" s="22">
        <v>32</v>
      </c>
      <c r="E268" s="22">
        <v>11437</v>
      </c>
      <c r="F268" s="10" t="s">
        <v>74</v>
      </c>
      <c r="G268" s="10" t="str">
        <f t="shared" si="2"/>
        <v>11437A</v>
      </c>
    </row>
    <row r="269" spans="1:7" x14ac:dyDescent="0.25">
      <c r="A269">
        <f>IF(AND(Sheet2!B269=Sheet1!B$19,Sheet2!C269=Sheet1!C$19,Sheet2!D269=Sheet1!D$19),1,0)</f>
        <v>0</v>
      </c>
      <c r="B269" s="10" t="s">
        <v>214</v>
      </c>
      <c r="C269" s="11">
        <v>1</v>
      </c>
      <c r="D269" s="22">
        <v>33</v>
      </c>
      <c r="E269" s="22">
        <v>11438</v>
      </c>
      <c r="F269" s="10" t="s">
        <v>74</v>
      </c>
      <c r="G269" s="10" t="str">
        <f t="shared" si="2"/>
        <v>11438A</v>
      </c>
    </row>
    <row r="270" spans="1:7" x14ac:dyDescent="0.25">
      <c r="A270">
        <f>IF(AND(Sheet2!B270=Sheet1!B$19,Sheet2!C270=Sheet1!C$19,Sheet2!D270=Sheet1!D$19),1,0)</f>
        <v>0</v>
      </c>
      <c r="B270" s="10" t="s">
        <v>214</v>
      </c>
      <c r="C270" s="11">
        <v>1</v>
      </c>
      <c r="D270" s="22">
        <v>34</v>
      </c>
      <c r="E270" s="22">
        <v>11439</v>
      </c>
      <c r="F270" s="10" t="s">
        <v>74</v>
      </c>
      <c r="G270" s="10" t="str">
        <f t="shared" si="2"/>
        <v>11439A</v>
      </c>
    </row>
    <row r="271" spans="1:7" x14ac:dyDescent="0.25">
      <c r="A271">
        <f>IF(AND(Sheet2!B271=Sheet1!B$19,Sheet2!C271=Sheet1!C$19,Sheet2!D271=Sheet1!D$19),1,0)</f>
        <v>0</v>
      </c>
      <c r="B271" s="10" t="s">
        <v>214</v>
      </c>
      <c r="C271" s="11">
        <v>1</v>
      </c>
      <c r="D271" s="22">
        <v>35</v>
      </c>
      <c r="E271" s="22">
        <v>11440</v>
      </c>
      <c r="F271" s="10" t="s">
        <v>74</v>
      </c>
      <c r="G271" s="10" t="str">
        <f t="shared" si="2"/>
        <v>11440A</v>
      </c>
    </row>
    <row r="272" spans="1:7" x14ac:dyDescent="0.25">
      <c r="A272">
        <f>IF(AND(Sheet2!B272=Sheet1!B$19,Sheet2!C272=Sheet1!C$19,Sheet2!D272=Sheet1!D$19),1,0)</f>
        <v>0</v>
      </c>
      <c r="B272" s="10" t="s">
        <v>214</v>
      </c>
      <c r="C272" s="11">
        <v>1</v>
      </c>
      <c r="D272" s="22">
        <v>36</v>
      </c>
      <c r="E272" s="22">
        <v>11441</v>
      </c>
      <c r="F272" s="10" t="s">
        <v>74</v>
      </c>
      <c r="G272" s="10" t="str">
        <f t="shared" si="2"/>
        <v>11441A</v>
      </c>
    </row>
    <row r="273" spans="1:7" x14ac:dyDescent="0.25">
      <c r="A273">
        <f>IF(AND(Sheet2!B273=Sheet1!B$19,Sheet2!C273=Sheet1!C$19,Sheet2!D273=Sheet1!D$19),1,0)</f>
        <v>0</v>
      </c>
      <c r="B273" s="10" t="s">
        <v>214</v>
      </c>
      <c r="C273" s="11">
        <v>1</v>
      </c>
      <c r="D273" s="22">
        <v>37</v>
      </c>
      <c r="E273" s="22">
        <v>11442</v>
      </c>
      <c r="F273" s="10" t="s">
        <v>74</v>
      </c>
      <c r="G273" s="10" t="str">
        <f t="shared" si="2"/>
        <v>11442A</v>
      </c>
    </row>
    <row r="274" spans="1:7" x14ac:dyDescent="0.25">
      <c r="A274">
        <f>IF(AND(Sheet2!B274=Sheet1!B$19,Sheet2!C274=Sheet1!C$19,Sheet2!D274=Sheet1!D$19),1,0)</f>
        <v>0</v>
      </c>
      <c r="B274" s="10" t="s">
        <v>214</v>
      </c>
      <c r="C274" s="11">
        <v>1</v>
      </c>
      <c r="D274" s="22">
        <v>38</v>
      </c>
      <c r="E274" s="22">
        <v>11443</v>
      </c>
      <c r="F274" s="10" t="s">
        <v>74</v>
      </c>
      <c r="G274" s="10" t="str">
        <f t="shared" si="2"/>
        <v>11443A</v>
      </c>
    </row>
    <row r="275" spans="1:7" x14ac:dyDescent="0.25">
      <c r="A275">
        <f>IF(AND(Sheet2!B275=Sheet1!B$19,Sheet2!C275=Sheet1!C$19,Sheet2!D275=Sheet1!D$19),1,0)</f>
        <v>0</v>
      </c>
      <c r="B275" s="10" t="s">
        <v>214</v>
      </c>
      <c r="C275" s="11">
        <v>1</v>
      </c>
      <c r="D275" s="22">
        <v>39</v>
      </c>
      <c r="E275" s="22">
        <v>11444</v>
      </c>
      <c r="F275" s="10" t="s">
        <v>74</v>
      </c>
      <c r="G275" s="10" t="str">
        <f t="shared" si="2"/>
        <v>11444A</v>
      </c>
    </row>
    <row r="276" spans="1:7" x14ac:dyDescent="0.25">
      <c r="A276">
        <f>IF(AND(Sheet2!B276=Sheet1!B$19,Sheet2!C276=Sheet1!C$19,Sheet2!D276=Sheet1!D$19),1,0)</f>
        <v>0</v>
      </c>
      <c r="B276" s="10" t="s">
        <v>214</v>
      </c>
      <c r="C276" s="11">
        <v>1</v>
      </c>
      <c r="D276" s="22">
        <v>40</v>
      </c>
      <c r="E276" s="22">
        <v>11445</v>
      </c>
      <c r="F276" s="10" t="s">
        <v>74</v>
      </c>
      <c r="G276" s="10" t="str">
        <f t="shared" si="2"/>
        <v>11445A</v>
      </c>
    </row>
    <row r="277" spans="1:7" x14ac:dyDescent="0.25">
      <c r="A277">
        <f>IF(AND(Sheet2!B277=Sheet1!B$19,Sheet2!C277=Sheet1!C$19,Sheet2!D277=Sheet1!D$19),1,0)</f>
        <v>0</v>
      </c>
      <c r="B277" s="10" t="s">
        <v>214</v>
      </c>
      <c r="C277" s="11">
        <v>1</v>
      </c>
      <c r="D277" s="22">
        <v>41</v>
      </c>
      <c r="E277" s="22">
        <v>11446</v>
      </c>
      <c r="F277" s="10" t="s">
        <v>74</v>
      </c>
      <c r="G277" s="10" t="str">
        <f t="shared" si="2"/>
        <v>11446A</v>
      </c>
    </row>
    <row r="278" spans="1:7" x14ac:dyDescent="0.25">
      <c r="A278">
        <f>IF(AND(Sheet2!B278=Sheet1!B$19,Sheet2!C278=Sheet1!C$19,Sheet2!D278=Sheet1!D$19),1,0)</f>
        <v>0</v>
      </c>
      <c r="B278" s="10" t="s">
        <v>214</v>
      </c>
      <c r="C278" s="11">
        <v>1</v>
      </c>
      <c r="D278" s="22">
        <v>42</v>
      </c>
      <c r="E278" s="22">
        <v>11447</v>
      </c>
      <c r="F278" s="10" t="s">
        <v>74</v>
      </c>
      <c r="G278" s="10" t="str">
        <f t="shared" si="2"/>
        <v>11447A</v>
      </c>
    </row>
    <row r="279" spans="1:7" x14ac:dyDescent="0.25">
      <c r="A279">
        <f>IF(AND(Sheet2!B279=Sheet1!B$19,Sheet2!C279=Sheet1!C$19,Sheet2!D279=Sheet1!D$19),1,0)</f>
        <v>0</v>
      </c>
      <c r="B279" s="10" t="s">
        <v>214</v>
      </c>
      <c r="C279" s="11">
        <v>1</v>
      </c>
      <c r="D279" s="22">
        <v>43</v>
      </c>
      <c r="E279" s="22">
        <v>11448</v>
      </c>
      <c r="F279" s="10" t="s">
        <v>74</v>
      </c>
      <c r="G279" s="10" t="str">
        <f t="shared" si="2"/>
        <v>11448A</v>
      </c>
    </row>
    <row r="280" spans="1:7" x14ac:dyDescent="0.25">
      <c r="A280">
        <f>IF(AND(Sheet2!B280=Sheet1!B$19,Sheet2!C280=Sheet1!C$19,Sheet2!D280=Sheet1!D$19),1,0)</f>
        <v>0</v>
      </c>
      <c r="B280" s="10" t="s">
        <v>214</v>
      </c>
      <c r="C280" s="11">
        <v>1</v>
      </c>
      <c r="D280" s="22">
        <v>44</v>
      </c>
      <c r="E280" s="22">
        <v>11449</v>
      </c>
      <c r="F280" s="10" t="s">
        <v>74</v>
      </c>
      <c r="G280" s="10" t="str">
        <f t="shared" si="2"/>
        <v>11449A</v>
      </c>
    </row>
    <row r="281" spans="1:7" x14ac:dyDescent="0.25">
      <c r="A281">
        <f>IF(AND(Sheet2!B281=Sheet1!B$19,Sheet2!C281=Sheet1!C$19,Sheet2!D281=Sheet1!D$19),1,0)</f>
        <v>0</v>
      </c>
      <c r="B281" s="10" t="s">
        <v>214</v>
      </c>
      <c r="C281" s="11">
        <v>1</v>
      </c>
      <c r="D281" s="22">
        <v>45</v>
      </c>
      <c r="E281" s="22">
        <v>11450</v>
      </c>
      <c r="F281" s="10" t="s">
        <v>74</v>
      </c>
      <c r="G281" s="10" t="str">
        <f t="shared" si="2"/>
        <v>11450A</v>
      </c>
    </row>
    <row r="282" spans="1:7" x14ac:dyDescent="0.25">
      <c r="A282">
        <f>IF(AND(Sheet2!B282=Sheet1!B$19,Sheet2!C282=Sheet1!C$19,Sheet2!D282=Sheet1!D$19),1,0)</f>
        <v>0</v>
      </c>
      <c r="B282" s="10" t="s">
        <v>214</v>
      </c>
      <c r="C282" s="11">
        <v>1</v>
      </c>
      <c r="D282" s="22">
        <v>46</v>
      </c>
      <c r="E282" s="22">
        <v>11451</v>
      </c>
      <c r="F282" s="10" t="s">
        <v>74</v>
      </c>
      <c r="G282" s="10" t="str">
        <f t="shared" si="2"/>
        <v>11451A</v>
      </c>
    </row>
    <row r="283" spans="1:7" x14ac:dyDescent="0.25">
      <c r="A283">
        <f>IF(AND(Sheet2!B283=Sheet1!B$19,Sheet2!C283=Sheet1!C$19,Sheet2!D283=Sheet1!D$19),1,0)</f>
        <v>0</v>
      </c>
      <c r="B283" s="10" t="s">
        <v>214</v>
      </c>
      <c r="C283" s="11">
        <v>1</v>
      </c>
      <c r="D283" s="22">
        <v>47</v>
      </c>
      <c r="E283" s="22">
        <v>11452</v>
      </c>
      <c r="F283" s="10" t="s">
        <v>74</v>
      </c>
      <c r="G283" s="10" t="str">
        <f t="shared" si="2"/>
        <v>11452A</v>
      </c>
    </row>
    <row r="284" spans="1:7" x14ac:dyDescent="0.25">
      <c r="A284">
        <f>IF(AND(Sheet2!B284=Sheet1!B$19,Sheet2!C284=Sheet1!C$19,Sheet2!D284=Sheet1!D$19),1,0)</f>
        <v>0</v>
      </c>
      <c r="B284" s="10" t="s">
        <v>214</v>
      </c>
      <c r="C284" s="11">
        <v>1</v>
      </c>
      <c r="D284" s="22">
        <v>48</v>
      </c>
      <c r="E284" s="22">
        <v>11453</v>
      </c>
      <c r="F284" s="10" t="s">
        <v>74</v>
      </c>
      <c r="G284" s="10" t="str">
        <f t="shared" si="2"/>
        <v>11453A</v>
      </c>
    </row>
    <row r="285" spans="1:7" x14ac:dyDescent="0.25">
      <c r="A285">
        <f>IF(AND(Sheet2!B285=Sheet1!B$19,Sheet2!C285=Sheet1!C$19,Sheet2!D285=Sheet1!D$19),1,0)</f>
        <v>0</v>
      </c>
      <c r="B285" s="10" t="s">
        <v>214</v>
      </c>
      <c r="C285" s="11">
        <v>1</v>
      </c>
      <c r="D285" s="22">
        <v>49</v>
      </c>
      <c r="E285" s="22">
        <v>11454</v>
      </c>
      <c r="F285" s="10" t="s">
        <v>74</v>
      </c>
      <c r="G285" s="10" t="str">
        <f t="shared" si="2"/>
        <v>11454A</v>
      </c>
    </row>
    <row r="286" spans="1:7" x14ac:dyDescent="0.25">
      <c r="A286">
        <f>IF(AND(Sheet2!B286=Sheet1!B$19,Sheet2!C286=Sheet1!C$19,Sheet2!D286=Sheet1!D$19),1,0)</f>
        <v>0</v>
      </c>
      <c r="B286" s="10" t="s">
        <v>214</v>
      </c>
      <c r="C286" s="11">
        <v>1</v>
      </c>
      <c r="D286" s="22">
        <v>50</v>
      </c>
      <c r="E286" s="22">
        <v>11455</v>
      </c>
      <c r="F286" s="10" t="s">
        <v>74</v>
      </c>
      <c r="G286" s="10" t="str">
        <f t="shared" si="2"/>
        <v>11455A</v>
      </c>
    </row>
    <row r="287" spans="1:7" x14ac:dyDescent="0.25">
      <c r="A287">
        <f>IF(AND(Sheet2!B287=Sheet1!B$19,Sheet2!C287=Sheet1!C$19,Sheet2!D287=Sheet1!D$19),1,0)</f>
        <v>0</v>
      </c>
      <c r="B287" s="10" t="s">
        <v>214</v>
      </c>
      <c r="C287" s="11">
        <v>1</v>
      </c>
      <c r="D287" s="22">
        <v>51</v>
      </c>
      <c r="E287" s="22">
        <v>11456</v>
      </c>
      <c r="F287" s="10" t="s">
        <v>74</v>
      </c>
      <c r="G287" s="10" t="str">
        <f t="shared" si="2"/>
        <v>11456A</v>
      </c>
    </row>
    <row r="288" spans="1:7" x14ac:dyDescent="0.25">
      <c r="A288">
        <f>IF(AND(Sheet2!B288=Sheet1!B$19,Sheet2!C288=Sheet1!C$19,Sheet2!D288=Sheet1!D$19),1,0)</f>
        <v>0</v>
      </c>
      <c r="B288" s="10" t="s">
        <v>214</v>
      </c>
      <c r="C288" s="11">
        <v>1</v>
      </c>
      <c r="D288" s="22">
        <v>52</v>
      </c>
      <c r="E288" s="22">
        <v>11457</v>
      </c>
      <c r="F288" s="10" t="s">
        <v>74</v>
      </c>
      <c r="G288" s="10" t="str">
        <f t="shared" si="2"/>
        <v>11457A</v>
      </c>
    </row>
    <row r="289" spans="1:7" x14ac:dyDescent="0.25">
      <c r="A289">
        <f>IF(AND(Sheet2!B289=Sheet1!B$19,Sheet2!C289=Sheet1!C$19,Sheet2!D289=Sheet1!D$19),1,0)</f>
        <v>0</v>
      </c>
      <c r="B289" s="10" t="s">
        <v>214</v>
      </c>
      <c r="C289" s="11">
        <v>1</v>
      </c>
      <c r="D289" s="22">
        <v>53</v>
      </c>
      <c r="E289" s="22">
        <v>11458</v>
      </c>
      <c r="F289" s="10" t="s">
        <v>74</v>
      </c>
      <c r="G289" s="10" t="str">
        <f t="shared" si="2"/>
        <v>11458A</v>
      </c>
    </row>
    <row r="290" spans="1:7" x14ac:dyDescent="0.25">
      <c r="A290">
        <f>IF(AND(Sheet2!B290=Sheet1!B$19,Sheet2!C290=Sheet1!C$19,Sheet2!D290=Sheet1!D$19),1,0)</f>
        <v>0</v>
      </c>
      <c r="B290" s="10" t="s">
        <v>214</v>
      </c>
      <c r="C290" s="11">
        <v>1</v>
      </c>
      <c r="D290" s="22">
        <v>54</v>
      </c>
      <c r="E290" s="22">
        <v>11459</v>
      </c>
      <c r="F290" s="10" t="s">
        <v>74</v>
      </c>
      <c r="G290" s="10" t="str">
        <f t="shared" si="2"/>
        <v>11459A</v>
      </c>
    </row>
    <row r="291" spans="1:7" x14ac:dyDescent="0.25">
      <c r="A291">
        <f>IF(AND(Sheet2!B291=Sheet1!B$19,Sheet2!C291=Sheet1!C$19,Sheet2!D291=Sheet1!D$19),1,0)</f>
        <v>0</v>
      </c>
      <c r="B291" s="10" t="s">
        <v>214</v>
      </c>
      <c r="C291" s="11">
        <v>1</v>
      </c>
      <c r="D291" s="22">
        <v>55</v>
      </c>
      <c r="E291" s="22">
        <v>11460</v>
      </c>
      <c r="F291" s="10" t="s">
        <v>74</v>
      </c>
      <c r="G291" s="10" t="str">
        <f t="shared" si="2"/>
        <v>11460A</v>
      </c>
    </row>
    <row r="292" spans="1:7" x14ac:dyDescent="0.25">
      <c r="A292">
        <f>IF(AND(Sheet2!B292=Sheet1!B$19,Sheet2!C292=Sheet1!C$19,Sheet2!D292=Sheet1!D$19),1,0)</f>
        <v>0</v>
      </c>
      <c r="B292" s="10" t="s">
        <v>214</v>
      </c>
      <c r="C292" s="11">
        <v>1</v>
      </c>
      <c r="D292" s="22">
        <v>56</v>
      </c>
      <c r="E292" s="22">
        <v>11461</v>
      </c>
      <c r="F292" s="10" t="s">
        <v>74</v>
      </c>
      <c r="G292" s="10" t="str">
        <f t="shared" si="2"/>
        <v>11461A</v>
      </c>
    </row>
    <row r="293" spans="1:7" x14ac:dyDescent="0.25">
      <c r="A293">
        <f>IF(AND(Sheet2!B293=Sheet1!B$19,Sheet2!C293=Sheet1!C$19,Sheet2!D293=Sheet1!D$19),1,0)</f>
        <v>0</v>
      </c>
      <c r="B293" s="10" t="s">
        <v>214</v>
      </c>
      <c r="C293" s="11">
        <v>1</v>
      </c>
      <c r="D293" s="22">
        <v>57</v>
      </c>
      <c r="E293" s="22">
        <v>11462</v>
      </c>
      <c r="F293" s="10" t="s">
        <v>74</v>
      </c>
      <c r="G293" s="10" t="str">
        <f t="shared" si="2"/>
        <v>11462A</v>
      </c>
    </row>
    <row r="294" spans="1:7" x14ac:dyDescent="0.25">
      <c r="A294">
        <f>IF(AND(Sheet2!B294=Sheet1!B$19,Sheet2!C294=Sheet1!C$19,Sheet2!D294=Sheet1!D$19),1,0)</f>
        <v>0</v>
      </c>
      <c r="B294" s="10" t="s">
        <v>214</v>
      </c>
      <c r="C294" s="11">
        <v>1</v>
      </c>
      <c r="D294" s="22">
        <v>58</v>
      </c>
      <c r="E294" s="22">
        <v>11463</v>
      </c>
      <c r="F294" s="10" t="s">
        <v>74</v>
      </c>
      <c r="G294" s="10" t="str">
        <f t="shared" si="2"/>
        <v>11463A</v>
      </c>
    </row>
    <row r="295" spans="1:7" x14ac:dyDescent="0.25">
      <c r="A295">
        <f>IF(AND(Sheet2!B295=Sheet1!B$19,Sheet2!C295=Sheet1!C$19,Sheet2!D295=Sheet1!D$19),1,0)</f>
        <v>0</v>
      </c>
      <c r="B295" s="10" t="s">
        <v>214</v>
      </c>
      <c r="C295" s="11">
        <v>1</v>
      </c>
      <c r="D295" s="22">
        <v>59</v>
      </c>
      <c r="E295" s="22">
        <v>11464</v>
      </c>
      <c r="F295" s="10" t="s">
        <v>74</v>
      </c>
      <c r="G295" s="10" t="str">
        <f t="shared" si="2"/>
        <v>11464A</v>
      </c>
    </row>
    <row r="296" spans="1:7" x14ac:dyDescent="0.25">
      <c r="A296">
        <f>IF(AND(Sheet2!B296=Sheet1!B$19,Sheet2!C296=Sheet1!C$19,Sheet2!D296=Sheet1!D$19),1,0)</f>
        <v>0</v>
      </c>
      <c r="B296" s="10" t="s">
        <v>214</v>
      </c>
      <c r="C296" s="11">
        <v>1</v>
      </c>
      <c r="D296" s="22">
        <v>60</v>
      </c>
      <c r="E296" s="22">
        <v>11465</v>
      </c>
      <c r="F296" s="10" t="s">
        <v>74</v>
      </c>
      <c r="G296" s="10" t="str">
        <f t="shared" si="2"/>
        <v>11465A</v>
      </c>
    </row>
    <row r="297" spans="1:7" x14ac:dyDescent="0.25">
      <c r="A297">
        <f>IF(AND(Sheet2!B297=Sheet1!B$19,Sheet2!C297=Sheet1!C$19,Sheet2!D297=Sheet1!D$19),1,0)</f>
        <v>0</v>
      </c>
      <c r="B297" s="10" t="s">
        <v>214</v>
      </c>
      <c r="C297" s="11">
        <v>1.5</v>
      </c>
      <c r="D297" s="22">
        <v>2</v>
      </c>
      <c r="E297" s="22">
        <v>11095</v>
      </c>
      <c r="F297" s="10" t="s">
        <v>74</v>
      </c>
      <c r="G297" s="10" t="str">
        <f t="shared" si="2"/>
        <v>11095A</v>
      </c>
    </row>
    <row r="298" spans="1:7" x14ac:dyDescent="0.25">
      <c r="A298">
        <f>IF(AND(Sheet2!B298=Sheet1!B$19,Sheet2!C298=Sheet1!C$19,Sheet2!D298=Sheet1!D$19),1,0)</f>
        <v>0</v>
      </c>
      <c r="B298" s="10" t="s">
        <v>214</v>
      </c>
      <c r="C298" s="11">
        <v>1.5</v>
      </c>
      <c r="D298" s="22">
        <v>3</v>
      </c>
      <c r="E298" s="22">
        <v>11096</v>
      </c>
      <c r="F298" s="10" t="s">
        <v>74</v>
      </c>
      <c r="G298" s="10" t="str">
        <f t="shared" si="2"/>
        <v>11096A</v>
      </c>
    </row>
    <row r="299" spans="1:7" x14ac:dyDescent="0.25">
      <c r="A299">
        <f>IF(AND(Sheet2!B299=Sheet1!B$19,Sheet2!C299=Sheet1!C$19,Sheet2!D299=Sheet1!D$19),1,0)</f>
        <v>0</v>
      </c>
      <c r="B299" s="10" t="s">
        <v>214</v>
      </c>
      <c r="C299" s="11">
        <v>1.5</v>
      </c>
      <c r="D299" s="22">
        <v>4</v>
      </c>
      <c r="E299" s="22">
        <v>11097</v>
      </c>
      <c r="F299" s="10" t="s">
        <v>74</v>
      </c>
      <c r="G299" s="10" t="str">
        <f t="shared" si="2"/>
        <v>11097A</v>
      </c>
    </row>
    <row r="300" spans="1:7" x14ac:dyDescent="0.25">
      <c r="A300">
        <f>IF(AND(Sheet2!B300=Sheet1!B$19,Sheet2!C300=Sheet1!C$19,Sheet2!D300=Sheet1!D$19),1,0)</f>
        <v>0</v>
      </c>
      <c r="B300" s="10" t="s">
        <v>214</v>
      </c>
      <c r="C300" s="11">
        <v>1.5</v>
      </c>
      <c r="D300" s="22">
        <v>5</v>
      </c>
      <c r="E300" s="22">
        <v>11098</v>
      </c>
      <c r="F300" s="10" t="s">
        <v>74</v>
      </c>
      <c r="G300" s="10" t="str">
        <f t="shared" si="2"/>
        <v>11098A</v>
      </c>
    </row>
    <row r="301" spans="1:7" x14ac:dyDescent="0.25">
      <c r="A301">
        <f>IF(AND(Sheet2!B301=Sheet1!B$19,Sheet2!C301=Sheet1!C$19,Sheet2!D301=Sheet1!D$19),1,0)</f>
        <v>0</v>
      </c>
      <c r="B301" s="10" t="s">
        <v>214</v>
      </c>
      <c r="C301" s="11">
        <v>1.5</v>
      </c>
      <c r="D301" s="22">
        <v>6</v>
      </c>
      <c r="E301" s="22">
        <v>11099</v>
      </c>
      <c r="F301" s="10" t="s">
        <v>74</v>
      </c>
      <c r="G301" s="10" t="str">
        <f t="shared" si="2"/>
        <v>11099A</v>
      </c>
    </row>
    <row r="302" spans="1:7" x14ac:dyDescent="0.25">
      <c r="A302">
        <f>IF(AND(Sheet2!B302=Sheet1!B$19,Sheet2!C302=Sheet1!C$19,Sheet2!D302=Sheet1!D$19),1,0)</f>
        <v>0</v>
      </c>
      <c r="B302" s="10" t="s">
        <v>214</v>
      </c>
      <c r="C302" s="11">
        <v>1.5</v>
      </c>
      <c r="D302" s="22">
        <v>7</v>
      </c>
      <c r="E302" s="22">
        <v>11100</v>
      </c>
      <c r="F302" s="10" t="s">
        <v>74</v>
      </c>
      <c r="G302" s="10" t="str">
        <f t="shared" si="2"/>
        <v>11100A</v>
      </c>
    </row>
    <row r="303" spans="1:7" x14ac:dyDescent="0.25">
      <c r="A303">
        <f>IF(AND(Sheet2!B303=Sheet1!B$19,Sheet2!C303=Sheet1!C$19,Sheet2!D303=Sheet1!D$19),1,0)</f>
        <v>0</v>
      </c>
      <c r="B303" s="10" t="s">
        <v>214</v>
      </c>
      <c r="C303" s="11">
        <v>1.5</v>
      </c>
      <c r="D303" s="22">
        <v>8</v>
      </c>
      <c r="E303" s="22">
        <v>11101</v>
      </c>
      <c r="F303" s="10" t="s">
        <v>74</v>
      </c>
      <c r="G303" s="10" t="str">
        <f t="shared" si="2"/>
        <v>11101A</v>
      </c>
    </row>
    <row r="304" spans="1:7" x14ac:dyDescent="0.25">
      <c r="A304">
        <f>IF(AND(Sheet2!B304=Sheet1!B$19,Sheet2!C304=Sheet1!C$19,Sheet2!D304=Sheet1!D$19),1,0)</f>
        <v>0</v>
      </c>
      <c r="B304" s="10" t="s">
        <v>214</v>
      </c>
      <c r="C304" s="11">
        <v>1.5</v>
      </c>
      <c r="D304" s="22">
        <v>9</v>
      </c>
      <c r="E304" s="22">
        <v>11102</v>
      </c>
      <c r="F304" s="10" t="s">
        <v>74</v>
      </c>
      <c r="G304" s="10" t="str">
        <f t="shared" si="2"/>
        <v>11102A</v>
      </c>
    </row>
    <row r="305" spans="1:7" x14ac:dyDescent="0.25">
      <c r="A305">
        <f>IF(AND(Sheet2!B305=Sheet1!B$19,Sheet2!C305=Sheet1!C$19,Sheet2!D305=Sheet1!D$19),1,0)</f>
        <v>0</v>
      </c>
      <c r="B305" s="10" t="s">
        <v>214</v>
      </c>
      <c r="C305" s="11">
        <v>1.5</v>
      </c>
      <c r="D305" s="22">
        <v>10</v>
      </c>
      <c r="E305" s="22">
        <v>11103</v>
      </c>
      <c r="F305" s="10" t="s">
        <v>74</v>
      </c>
      <c r="G305" s="10" t="str">
        <f t="shared" si="2"/>
        <v>11103A</v>
      </c>
    </row>
    <row r="306" spans="1:7" x14ac:dyDescent="0.25">
      <c r="A306">
        <f>IF(AND(Sheet2!B306=Sheet1!B$19,Sheet2!C306=Sheet1!C$19,Sheet2!D306=Sheet1!D$19),1,0)</f>
        <v>0</v>
      </c>
      <c r="B306" s="10" t="s">
        <v>214</v>
      </c>
      <c r="C306" s="11">
        <v>1.5</v>
      </c>
      <c r="D306" s="22">
        <v>11</v>
      </c>
      <c r="E306" s="22">
        <v>11104</v>
      </c>
      <c r="F306" s="10" t="s">
        <v>74</v>
      </c>
      <c r="G306" s="10" t="str">
        <f t="shared" si="2"/>
        <v>11104A</v>
      </c>
    </row>
    <row r="307" spans="1:7" x14ac:dyDescent="0.25">
      <c r="A307">
        <f>IF(AND(Sheet2!B307=Sheet1!B$19,Sheet2!C307=Sheet1!C$19,Sheet2!D307=Sheet1!D$19),1,0)</f>
        <v>0</v>
      </c>
      <c r="B307" s="10" t="s">
        <v>214</v>
      </c>
      <c r="C307" s="11">
        <v>1.5</v>
      </c>
      <c r="D307" s="22">
        <v>12</v>
      </c>
      <c r="E307" s="22">
        <v>11105</v>
      </c>
      <c r="F307" s="10" t="s">
        <v>74</v>
      </c>
      <c r="G307" s="10" t="str">
        <f t="shared" si="2"/>
        <v>11105A</v>
      </c>
    </row>
    <row r="308" spans="1:7" x14ac:dyDescent="0.25">
      <c r="A308">
        <f>IF(AND(Sheet2!B308=Sheet1!B$19,Sheet2!C308=Sheet1!C$19,Sheet2!D308=Sheet1!D$19),1,0)</f>
        <v>0</v>
      </c>
      <c r="B308" s="10" t="s">
        <v>214</v>
      </c>
      <c r="C308" s="11">
        <v>1.5</v>
      </c>
      <c r="D308" s="22">
        <v>13</v>
      </c>
      <c r="E308" s="22">
        <v>11106</v>
      </c>
      <c r="F308" s="10" t="s">
        <v>74</v>
      </c>
      <c r="G308" s="10" t="str">
        <f t="shared" si="2"/>
        <v>11106A</v>
      </c>
    </row>
    <row r="309" spans="1:7" x14ac:dyDescent="0.25">
      <c r="A309">
        <f>IF(AND(Sheet2!B309=Sheet1!B$19,Sheet2!C309=Sheet1!C$19,Sheet2!D309=Sheet1!D$19),1,0)</f>
        <v>0</v>
      </c>
      <c r="B309" s="10" t="s">
        <v>214</v>
      </c>
      <c r="C309" s="11">
        <v>1.5</v>
      </c>
      <c r="D309" s="22">
        <v>14</v>
      </c>
      <c r="E309" s="22">
        <v>11107</v>
      </c>
      <c r="F309" s="10" t="s">
        <v>74</v>
      </c>
      <c r="G309" s="10" t="str">
        <f t="shared" si="2"/>
        <v>11107A</v>
      </c>
    </row>
    <row r="310" spans="1:7" x14ac:dyDescent="0.25">
      <c r="A310">
        <f>IF(AND(Sheet2!B310=Sheet1!B$19,Sheet2!C310=Sheet1!C$19,Sheet2!D310=Sheet1!D$19),1,0)</f>
        <v>0</v>
      </c>
      <c r="B310" s="10" t="s">
        <v>214</v>
      </c>
      <c r="C310" s="11">
        <v>1.5</v>
      </c>
      <c r="D310" s="22">
        <v>15</v>
      </c>
      <c r="E310" s="22">
        <v>11108</v>
      </c>
      <c r="F310" s="10" t="s">
        <v>74</v>
      </c>
      <c r="G310" s="10" t="str">
        <f t="shared" si="2"/>
        <v>11108A</v>
      </c>
    </row>
    <row r="311" spans="1:7" x14ac:dyDescent="0.25">
      <c r="A311">
        <f>IF(AND(Sheet2!B311=Sheet1!B$19,Sheet2!C311=Sheet1!C$19,Sheet2!D311=Sheet1!D$19),1,0)</f>
        <v>0</v>
      </c>
      <c r="B311" s="10" t="s">
        <v>214</v>
      </c>
      <c r="C311" s="11">
        <v>1.5</v>
      </c>
      <c r="D311" s="22">
        <v>16</v>
      </c>
      <c r="E311" s="22">
        <v>11109</v>
      </c>
      <c r="F311" s="10" t="s">
        <v>74</v>
      </c>
      <c r="G311" s="10" t="str">
        <f t="shared" si="2"/>
        <v>11109A</v>
      </c>
    </row>
    <row r="312" spans="1:7" x14ac:dyDescent="0.25">
      <c r="A312">
        <f>IF(AND(Sheet2!B312=Sheet1!B$19,Sheet2!C312=Sheet1!C$19,Sheet2!D312=Sheet1!D$19),1,0)</f>
        <v>0</v>
      </c>
      <c r="B312" s="10" t="s">
        <v>214</v>
      </c>
      <c r="C312" s="11">
        <v>1.5</v>
      </c>
      <c r="D312" s="22">
        <v>17</v>
      </c>
      <c r="E312" s="22">
        <v>11110</v>
      </c>
      <c r="F312" s="10" t="s">
        <v>74</v>
      </c>
      <c r="G312" s="10" t="str">
        <f t="shared" si="2"/>
        <v>11110A</v>
      </c>
    </row>
    <row r="313" spans="1:7" x14ac:dyDescent="0.25">
      <c r="A313">
        <f>IF(AND(Sheet2!B313=Sheet1!B$19,Sheet2!C313=Sheet1!C$19,Sheet2!D313=Sheet1!D$19),1,0)</f>
        <v>0</v>
      </c>
      <c r="B313" s="10" t="s">
        <v>214</v>
      </c>
      <c r="C313" s="11">
        <v>1.5</v>
      </c>
      <c r="D313" s="22">
        <v>18</v>
      </c>
      <c r="E313" s="22">
        <v>11111</v>
      </c>
      <c r="F313" s="10" t="s">
        <v>74</v>
      </c>
      <c r="G313" s="10" t="str">
        <f t="shared" si="2"/>
        <v>11111A</v>
      </c>
    </row>
    <row r="314" spans="1:7" x14ac:dyDescent="0.25">
      <c r="A314">
        <f>IF(AND(Sheet2!B314=Sheet1!B$19,Sheet2!C314=Sheet1!C$19,Sheet2!D314=Sheet1!D$19),1,0)</f>
        <v>0</v>
      </c>
      <c r="B314" s="10" t="s">
        <v>214</v>
      </c>
      <c r="C314" s="11">
        <v>1.5</v>
      </c>
      <c r="D314" s="22">
        <v>19</v>
      </c>
      <c r="E314" s="22">
        <v>11112</v>
      </c>
      <c r="F314" s="10" t="s">
        <v>74</v>
      </c>
      <c r="G314" s="10" t="str">
        <f t="shared" si="2"/>
        <v>11112A</v>
      </c>
    </row>
    <row r="315" spans="1:7" x14ac:dyDescent="0.25">
      <c r="A315">
        <f>IF(AND(Sheet2!B315=Sheet1!B$19,Sheet2!C315=Sheet1!C$19,Sheet2!D315=Sheet1!D$19),1,0)</f>
        <v>0</v>
      </c>
      <c r="B315" s="10" t="s">
        <v>214</v>
      </c>
      <c r="C315" s="11">
        <v>1.5</v>
      </c>
      <c r="D315" s="22">
        <v>20</v>
      </c>
      <c r="E315" s="22">
        <v>11113</v>
      </c>
      <c r="F315" s="10" t="s">
        <v>74</v>
      </c>
      <c r="G315" s="10" t="str">
        <f t="shared" si="2"/>
        <v>11113A</v>
      </c>
    </row>
    <row r="316" spans="1:7" x14ac:dyDescent="0.25">
      <c r="A316">
        <f>IF(AND(Sheet2!B316=Sheet1!B$19,Sheet2!C316=Sheet1!C$19,Sheet2!D316=Sheet1!D$19),1,0)</f>
        <v>0</v>
      </c>
      <c r="B316" s="10" t="s">
        <v>214</v>
      </c>
      <c r="C316" s="11">
        <v>2</v>
      </c>
      <c r="D316" s="22">
        <v>2</v>
      </c>
      <c r="E316" s="22">
        <v>11114</v>
      </c>
      <c r="F316" s="10" t="s">
        <v>74</v>
      </c>
      <c r="G316" s="10" t="str">
        <f t="shared" si="2"/>
        <v>11114A</v>
      </c>
    </row>
    <row r="317" spans="1:7" x14ac:dyDescent="0.25">
      <c r="A317">
        <f>IF(AND(Sheet2!B317=Sheet1!B$19,Sheet2!C317=Sheet1!C$19,Sheet2!D317=Sheet1!D$19),1,0)</f>
        <v>0</v>
      </c>
      <c r="B317" s="10" t="s">
        <v>214</v>
      </c>
      <c r="C317" s="11">
        <v>2</v>
      </c>
      <c r="D317" s="22">
        <v>3</v>
      </c>
      <c r="E317" s="22">
        <v>11115</v>
      </c>
      <c r="F317" s="10" t="s">
        <v>74</v>
      </c>
      <c r="G317" s="10" t="str">
        <f t="shared" si="2"/>
        <v>11115A</v>
      </c>
    </row>
    <row r="318" spans="1:7" x14ac:dyDescent="0.25">
      <c r="A318">
        <f>IF(AND(Sheet2!B318=Sheet1!B$19,Sheet2!C318=Sheet1!C$19,Sheet2!D318=Sheet1!D$19),1,0)</f>
        <v>0</v>
      </c>
      <c r="B318" s="10" t="s">
        <v>214</v>
      </c>
      <c r="C318" s="11">
        <v>2</v>
      </c>
      <c r="D318" s="22">
        <v>4</v>
      </c>
      <c r="E318" s="22">
        <v>11116</v>
      </c>
      <c r="F318" s="10" t="s">
        <v>74</v>
      </c>
      <c r="G318" s="10" t="str">
        <f t="shared" si="2"/>
        <v>11116A</v>
      </c>
    </row>
    <row r="319" spans="1:7" x14ac:dyDescent="0.25">
      <c r="A319">
        <f>IF(AND(Sheet2!B319=Sheet1!B$19,Sheet2!C319=Sheet1!C$19,Sheet2!D319=Sheet1!D$19),1,0)</f>
        <v>0</v>
      </c>
      <c r="B319" s="10" t="s">
        <v>214</v>
      </c>
      <c r="C319" s="11">
        <v>2</v>
      </c>
      <c r="D319" s="22">
        <v>5</v>
      </c>
      <c r="E319" s="22">
        <v>11117</v>
      </c>
      <c r="F319" s="10" t="s">
        <v>74</v>
      </c>
      <c r="G319" s="10" t="str">
        <f t="shared" si="2"/>
        <v>11117A</v>
      </c>
    </row>
    <row r="320" spans="1:7" x14ac:dyDescent="0.25">
      <c r="A320">
        <f>IF(AND(Sheet2!B320=Sheet1!B$19,Sheet2!C320=Sheet1!C$19,Sheet2!D320=Sheet1!D$19),1,0)</f>
        <v>0</v>
      </c>
      <c r="B320" s="10" t="s">
        <v>214</v>
      </c>
      <c r="C320" s="11">
        <v>2</v>
      </c>
      <c r="D320" s="22">
        <v>6</v>
      </c>
      <c r="E320" s="22">
        <v>11118</v>
      </c>
      <c r="F320" s="10" t="s">
        <v>74</v>
      </c>
      <c r="G320" s="10" t="str">
        <f t="shared" si="2"/>
        <v>11118A</v>
      </c>
    </row>
    <row r="321" spans="1:7" x14ac:dyDescent="0.25">
      <c r="A321">
        <f>IF(AND(Sheet2!B321=Sheet1!B$19,Sheet2!C321=Sheet1!C$19,Sheet2!D321=Sheet1!D$19),1,0)</f>
        <v>0</v>
      </c>
      <c r="B321" s="10" t="s">
        <v>214</v>
      </c>
      <c r="C321" s="11">
        <v>2</v>
      </c>
      <c r="D321" s="22">
        <v>7</v>
      </c>
      <c r="E321" s="22">
        <v>11119</v>
      </c>
      <c r="F321" s="10" t="s">
        <v>74</v>
      </c>
      <c r="G321" s="10" t="str">
        <f t="shared" si="2"/>
        <v>11119A</v>
      </c>
    </row>
    <row r="322" spans="1:7" x14ac:dyDescent="0.25">
      <c r="A322">
        <f>IF(AND(Sheet2!B322=Sheet1!B$19,Sheet2!C322=Sheet1!C$19,Sheet2!D322=Sheet1!D$19),1,0)</f>
        <v>0</v>
      </c>
      <c r="B322" s="10" t="s">
        <v>214</v>
      </c>
      <c r="C322" s="11">
        <v>2</v>
      </c>
      <c r="D322" s="22">
        <v>8</v>
      </c>
      <c r="E322" s="22">
        <v>11120</v>
      </c>
      <c r="F322" s="10" t="s">
        <v>74</v>
      </c>
      <c r="G322" s="10" t="str">
        <f t="shared" si="2"/>
        <v>11120A</v>
      </c>
    </row>
    <row r="323" spans="1:7" x14ac:dyDescent="0.25">
      <c r="A323">
        <f>IF(AND(Sheet2!B323=Sheet1!B$19,Sheet2!C323=Sheet1!C$19,Sheet2!D323=Sheet1!D$19),1,0)</f>
        <v>0</v>
      </c>
      <c r="B323" s="10" t="s">
        <v>214</v>
      </c>
      <c r="C323" s="11">
        <v>2</v>
      </c>
      <c r="D323" s="22">
        <v>9</v>
      </c>
      <c r="E323" s="22">
        <v>11121</v>
      </c>
      <c r="F323" s="10" t="s">
        <v>74</v>
      </c>
      <c r="G323" s="10" t="str">
        <f t="shared" si="2"/>
        <v>11121A</v>
      </c>
    </row>
    <row r="324" spans="1:7" x14ac:dyDescent="0.25">
      <c r="A324">
        <f>IF(AND(Sheet2!B324=Sheet1!B$19,Sheet2!C324=Sheet1!C$19,Sheet2!D324=Sheet1!D$19),1,0)</f>
        <v>0</v>
      </c>
      <c r="B324" s="10" t="s">
        <v>214</v>
      </c>
      <c r="C324" s="11">
        <v>2</v>
      </c>
      <c r="D324" s="22">
        <v>10</v>
      </c>
      <c r="E324" s="22">
        <v>11122</v>
      </c>
      <c r="F324" s="10" t="s">
        <v>74</v>
      </c>
      <c r="G324" s="10" t="str">
        <f t="shared" ref="G324:G578" si="3">CONCATENATE(E324,F324)</f>
        <v>11122A</v>
      </c>
    </row>
    <row r="325" spans="1:7" x14ac:dyDescent="0.25">
      <c r="A325">
        <f>IF(AND(Sheet2!B325=Sheet1!B$19,Sheet2!C325=Sheet1!C$19,Sheet2!D325=Sheet1!D$19),1,0)</f>
        <v>0</v>
      </c>
      <c r="B325" s="10" t="s">
        <v>214</v>
      </c>
      <c r="C325" s="11">
        <v>2</v>
      </c>
      <c r="D325" s="22">
        <v>11</v>
      </c>
      <c r="E325" s="22">
        <v>11123</v>
      </c>
      <c r="F325" s="10" t="s">
        <v>74</v>
      </c>
      <c r="G325" s="10" t="str">
        <f t="shared" si="3"/>
        <v>11123A</v>
      </c>
    </row>
    <row r="326" spans="1:7" x14ac:dyDescent="0.25">
      <c r="A326">
        <f>IF(AND(Sheet2!B326=Sheet1!B$19,Sheet2!C326=Sheet1!C$19,Sheet2!D326=Sheet1!D$19),1,0)</f>
        <v>0</v>
      </c>
      <c r="B326" s="10" t="s">
        <v>214</v>
      </c>
      <c r="C326" s="11">
        <v>2</v>
      </c>
      <c r="D326" s="22">
        <v>12</v>
      </c>
      <c r="E326" s="22">
        <v>11124</v>
      </c>
      <c r="F326" s="10" t="s">
        <v>74</v>
      </c>
      <c r="G326" s="10" t="str">
        <f t="shared" si="3"/>
        <v>11124A</v>
      </c>
    </row>
    <row r="327" spans="1:7" x14ac:dyDescent="0.25">
      <c r="A327">
        <f>IF(AND(Sheet2!B327=Sheet1!B$19,Sheet2!C327=Sheet1!C$19,Sheet2!D327=Sheet1!D$19),1,0)</f>
        <v>0</v>
      </c>
      <c r="B327" s="10" t="s">
        <v>214</v>
      </c>
      <c r="C327" s="11">
        <v>2</v>
      </c>
      <c r="D327" s="22">
        <v>13</v>
      </c>
      <c r="E327" s="22">
        <v>11125</v>
      </c>
      <c r="F327" s="10" t="s">
        <v>74</v>
      </c>
      <c r="G327" s="10" t="str">
        <f t="shared" si="3"/>
        <v>11125A</v>
      </c>
    </row>
    <row r="328" spans="1:7" x14ac:dyDescent="0.25">
      <c r="A328">
        <f>IF(AND(Sheet2!B328=Sheet1!B$19,Sheet2!C328=Sheet1!C$19,Sheet2!D328=Sheet1!D$19),1,0)</f>
        <v>0</v>
      </c>
      <c r="B328" s="10" t="s">
        <v>214</v>
      </c>
      <c r="C328" s="11">
        <v>2</v>
      </c>
      <c r="D328" s="22">
        <v>14</v>
      </c>
      <c r="E328" s="22">
        <v>11126</v>
      </c>
      <c r="F328" s="10" t="s">
        <v>74</v>
      </c>
      <c r="G328" s="10" t="str">
        <f t="shared" si="3"/>
        <v>11126A</v>
      </c>
    </row>
    <row r="329" spans="1:7" x14ac:dyDescent="0.25">
      <c r="A329">
        <f>IF(AND(Sheet2!B329=Sheet1!B$19,Sheet2!C329=Sheet1!C$19,Sheet2!D329=Sheet1!D$19),1,0)</f>
        <v>0</v>
      </c>
      <c r="B329" s="10" t="s">
        <v>214</v>
      </c>
      <c r="C329" s="11">
        <v>2</v>
      </c>
      <c r="D329" s="22">
        <v>15</v>
      </c>
      <c r="E329" s="22">
        <v>11127</v>
      </c>
      <c r="F329" s="10" t="s">
        <v>74</v>
      </c>
      <c r="G329" s="10" t="str">
        <f t="shared" si="3"/>
        <v>11127A</v>
      </c>
    </row>
    <row r="330" spans="1:7" x14ac:dyDescent="0.25">
      <c r="A330">
        <f>IF(AND(Sheet2!B330=Sheet1!B$19,Sheet2!C330=Sheet1!C$19,Sheet2!D330=Sheet1!D$19),1,0)</f>
        <v>0</v>
      </c>
      <c r="B330" s="10" t="s">
        <v>214</v>
      </c>
      <c r="C330" s="11">
        <v>2</v>
      </c>
      <c r="D330" s="22">
        <v>16</v>
      </c>
      <c r="E330" s="22">
        <v>11128</v>
      </c>
      <c r="F330" s="10" t="s">
        <v>74</v>
      </c>
      <c r="G330" s="10" t="str">
        <f t="shared" si="3"/>
        <v>11128A</v>
      </c>
    </row>
    <row r="331" spans="1:7" x14ac:dyDescent="0.25">
      <c r="A331">
        <f>IF(AND(Sheet2!B331=Sheet1!B$19,Sheet2!C331=Sheet1!C$19,Sheet2!D331=Sheet1!D$19),1,0)</f>
        <v>0</v>
      </c>
      <c r="B331" s="10" t="s">
        <v>214</v>
      </c>
      <c r="C331" s="11">
        <v>2</v>
      </c>
      <c r="D331" s="22">
        <v>17</v>
      </c>
      <c r="E331" s="22">
        <v>11129</v>
      </c>
      <c r="F331" s="10" t="s">
        <v>74</v>
      </c>
      <c r="G331" s="10" t="str">
        <f t="shared" si="3"/>
        <v>11129A</v>
      </c>
    </row>
    <row r="332" spans="1:7" x14ac:dyDescent="0.25">
      <c r="A332">
        <f>IF(AND(Sheet2!B332=Sheet1!B$19,Sheet2!C332=Sheet1!C$19,Sheet2!D332=Sheet1!D$19),1,0)</f>
        <v>0</v>
      </c>
      <c r="B332" s="10" t="s">
        <v>214</v>
      </c>
      <c r="C332" s="11">
        <v>2</v>
      </c>
      <c r="D332" s="22">
        <v>18</v>
      </c>
      <c r="E332" s="22">
        <v>11130</v>
      </c>
      <c r="F332" s="10" t="s">
        <v>74</v>
      </c>
      <c r="G332" s="10" t="str">
        <f t="shared" si="3"/>
        <v>11130A</v>
      </c>
    </row>
    <row r="333" spans="1:7" x14ac:dyDescent="0.25">
      <c r="A333">
        <f>IF(AND(Sheet2!B333=Sheet1!B$19,Sheet2!C333=Sheet1!C$19,Sheet2!D333=Sheet1!D$19),1,0)</f>
        <v>0</v>
      </c>
      <c r="B333" s="10" t="s">
        <v>214</v>
      </c>
      <c r="C333" s="11">
        <v>2</v>
      </c>
      <c r="D333" s="22">
        <v>19</v>
      </c>
      <c r="E333" s="22">
        <v>11131</v>
      </c>
      <c r="F333" s="10" t="s">
        <v>74</v>
      </c>
      <c r="G333" s="10" t="str">
        <f t="shared" si="3"/>
        <v>11131A</v>
      </c>
    </row>
    <row r="334" spans="1:7" x14ac:dyDescent="0.25">
      <c r="A334">
        <f>IF(AND(Sheet2!B334=Sheet1!B$19,Sheet2!C334=Sheet1!C$19,Sheet2!D334=Sheet1!D$19),1,0)</f>
        <v>0</v>
      </c>
      <c r="B334" s="10" t="s">
        <v>214</v>
      </c>
      <c r="C334" s="11">
        <v>2</v>
      </c>
      <c r="D334" s="22">
        <v>20</v>
      </c>
      <c r="E334" s="22">
        <v>11132</v>
      </c>
      <c r="F334" s="10" t="s">
        <v>74</v>
      </c>
      <c r="G334" s="10" t="str">
        <f t="shared" si="3"/>
        <v>11132A</v>
      </c>
    </row>
    <row r="335" spans="1:7" x14ac:dyDescent="0.25">
      <c r="A335">
        <f>IF(AND(Sheet2!B335=Sheet1!B$19,Sheet2!C335=Sheet1!C$19,Sheet2!D335=Sheet1!D$19),1,0)</f>
        <v>0</v>
      </c>
      <c r="B335" s="10" t="s">
        <v>13</v>
      </c>
      <c r="C335" s="11">
        <v>0.375</v>
      </c>
      <c r="D335" s="22">
        <v>2</v>
      </c>
      <c r="E335" s="22">
        <v>11923</v>
      </c>
      <c r="F335" s="10" t="s">
        <v>74</v>
      </c>
      <c r="G335" s="10" t="str">
        <f t="shared" si="3"/>
        <v>11923A</v>
      </c>
    </row>
    <row r="336" spans="1:7" x14ac:dyDescent="0.25">
      <c r="A336">
        <f>IF(AND(Sheet2!B336=Sheet1!B$19,Sheet2!C336=Sheet1!C$19,Sheet2!D336=Sheet1!D$19),1,0)</f>
        <v>0</v>
      </c>
      <c r="B336" s="10" t="s">
        <v>13</v>
      </c>
      <c r="C336" s="11">
        <v>0.375</v>
      </c>
      <c r="D336" s="22">
        <v>3</v>
      </c>
      <c r="E336" s="22">
        <v>11924</v>
      </c>
      <c r="F336" s="10" t="s">
        <v>74</v>
      </c>
      <c r="G336" s="10" t="str">
        <f t="shared" si="3"/>
        <v>11924A</v>
      </c>
    </row>
    <row r="337" spans="1:7" x14ac:dyDescent="0.25">
      <c r="A337">
        <f>IF(AND(Sheet2!B337=Sheet1!B$19,Sheet2!C337=Sheet1!C$19,Sheet2!D337=Sheet1!D$19),1,0)</f>
        <v>0</v>
      </c>
      <c r="B337" s="10" t="s">
        <v>13</v>
      </c>
      <c r="C337" s="11">
        <v>0.375</v>
      </c>
      <c r="D337" s="22">
        <v>4</v>
      </c>
      <c r="E337" s="22">
        <v>11925</v>
      </c>
      <c r="F337" s="10" t="s">
        <v>74</v>
      </c>
      <c r="G337" s="10" t="str">
        <f t="shared" si="3"/>
        <v>11925A</v>
      </c>
    </row>
    <row r="338" spans="1:7" x14ac:dyDescent="0.25">
      <c r="A338">
        <f>IF(AND(Sheet2!B338=Sheet1!B$19,Sheet2!C338=Sheet1!C$19,Sheet2!D338=Sheet1!D$19),1,0)</f>
        <v>0</v>
      </c>
      <c r="B338" s="10" t="s">
        <v>13</v>
      </c>
      <c r="C338" s="11">
        <v>0.375</v>
      </c>
      <c r="D338" s="22">
        <v>5</v>
      </c>
      <c r="E338" s="22">
        <v>11926</v>
      </c>
      <c r="F338" s="10" t="s">
        <v>74</v>
      </c>
      <c r="G338" s="10" t="str">
        <f t="shared" si="3"/>
        <v>11926A</v>
      </c>
    </row>
    <row r="339" spans="1:7" x14ac:dyDescent="0.25">
      <c r="A339">
        <f>IF(AND(Sheet2!B339=Sheet1!B$19,Sheet2!C339=Sheet1!C$19,Sheet2!D339=Sheet1!D$19),1,0)</f>
        <v>0</v>
      </c>
      <c r="B339" s="10" t="s">
        <v>13</v>
      </c>
      <c r="C339" s="11">
        <v>0.375</v>
      </c>
      <c r="D339" s="22">
        <v>6</v>
      </c>
      <c r="E339" s="22">
        <v>11927</v>
      </c>
      <c r="F339" s="10" t="s">
        <v>74</v>
      </c>
      <c r="G339" s="10" t="str">
        <f t="shared" si="3"/>
        <v>11927A</v>
      </c>
    </row>
    <row r="340" spans="1:7" x14ac:dyDescent="0.25">
      <c r="A340">
        <f>IF(AND(Sheet2!B340=Sheet1!B$19,Sheet2!C340=Sheet1!C$19,Sheet2!D340=Sheet1!D$19),1,0)</f>
        <v>0</v>
      </c>
      <c r="B340" s="10" t="s">
        <v>13</v>
      </c>
      <c r="C340" s="11">
        <v>0.375</v>
      </c>
      <c r="D340" s="22">
        <v>7</v>
      </c>
      <c r="E340" s="22">
        <v>11928</v>
      </c>
      <c r="F340" s="10" t="s">
        <v>74</v>
      </c>
      <c r="G340" s="10" t="str">
        <f t="shared" si="3"/>
        <v>11928A</v>
      </c>
    </row>
    <row r="341" spans="1:7" x14ac:dyDescent="0.25">
      <c r="A341">
        <f>IF(AND(Sheet2!B341=Sheet1!B$19,Sheet2!C341=Sheet1!C$19,Sheet2!D341=Sheet1!D$19),1,0)</f>
        <v>0</v>
      </c>
      <c r="B341" s="10" t="s">
        <v>13</v>
      </c>
      <c r="C341" s="11">
        <v>0.375</v>
      </c>
      <c r="D341" s="22">
        <v>8</v>
      </c>
      <c r="E341" s="22">
        <v>11929</v>
      </c>
      <c r="F341" s="10" t="s">
        <v>74</v>
      </c>
      <c r="G341" s="10" t="str">
        <f t="shared" si="3"/>
        <v>11929A</v>
      </c>
    </row>
    <row r="342" spans="1:7" x14ac:dyDescent="0.25">
      <c r="A342">
        <f>IF(AND(Sheet2!B342=Sheet1!B$19,Sheet2!C342=Sheet1!C$19,Sheet2!D342=Sheet1!D$19),1,0)</f>
        <v>0</v>
      </c>
      <c r="B342" s="10" t="s">
        <v>13</v>
      </c>
      <c r="C342" s="11">
        <v>0.375</v>
      </c>
      <c r="D342" s="22">
        <v>9</v>
      </c>
      <c r="E342" s="22">
        <v>11930</v>
      </c>
      <c r="F342" s="10" t="s">
        <v>74</v>
      </c>
      <c r="G342" s="10" t="str">
        <f t="shared" si="3"/>
        <v>11930A</v>
      </c>
    </row>
    <row r="343" spans="1:7" x14ac:dyDescent="0.25">
      <c r="A343">
        <f>IF(AND(Sheet2!B343=Sheet1!B$19,Sheet2!C343=Sheet1!C$19,Sheet2!D343=Sheet1!D$19),1,0)</f>
        <v>0</v>
      </c>
      <c r="B343" s="10" t="s">
        <v>13</v>
      </c>
      <c r="C343" s="11">
        <v>0.375</v>
      </c>
      <c r="D343" s="22">
        <v>10</v>
      </c>
      <c r="E343" s="22">
        <v>11931</v>
      </c>
      <c r="F343" s="10" t="s">
        <v>74</v>
      </c>
      <c r="G343" s="10" t="str">
        <f t="shared" si="3"/>
        <v>11931A</v>
      </c>
    </row>
    <row r="344" spans="1:7" x14ac:dyDescent="0.25">
      <c r="A344">
        <f>IF(AND(Sheet2!B344=Sheet1!B$19,Sheet2!C344=Sheet1!C$19,Sheet2!D344=Sheet1!D$19),1,0)</f>
        <v>0</v>
      </c>
      <c r="B344" s="10" t="s">
        <v>13</v>
      </c>
      <c r="C344" s="11">
        <v>0.375</v>
      </c>
      <c r="D344" s="22">
        <v>11</v>
      </c>
      <c r="E344" s="22">
        <v>11932</v>
      </c>
      <c r="F344" s="10" t="s">
        <v>74</v>
      </c>
      <c r="G344" s="10" t="str">
        <f t="shared" si="3"/>
        <v>11932A</v>
      </c>
    </row>
    <row r="345" spans="1:7" x14ac:dyDescent="0.25">
      <c r="A345">
        <f>IF(AND(Sheet2!B345=Sheet1!B$19,Sheet2!C345=Sheet1!C$19,Sheet2!D345=Sheet1!D$19),1,0)</f>
        <v>0</v>
      </c>
      <c r="B345" s="10" t="s">
        <v>13</v>
      </c>
      <c r="C345" s="11">
        <v>0.375</v>
      </c>
      <c r="D345" s="22">
        <v>12</v>
      </c>
      <c r="E345" s="22">
        <v>11933</v>
      </c>
      <c r="F345" s="10" t="s">
        <v>74</v>
      </c>
      <c r="G345" s="10" t="str">
        <f t="shared" si="3"/>
        <v>11933A</v>
      </c>
    </row>
    <row r="346" spans="1:7" x14ac:dyDescent="0.25">
      <c r="A346">
        <f>IF(AND(Sheet2!B346=Sheet1!B$19,Sheet2!C346=Sheet1!C$19,Sheet2!D346=Sheet1!D$19),1,0)</f>
        <v>0</v>
      </c>
      <c r="B346" s="10" t="s">
        <v>13</v>
      </c>
      <c r="C346" s="11">
        <v>0.375</v>
      </c>
      <c r="D346" s="22">
        <v>13</v>
      </c>
      <c r="E346" s="22">
        <v>11934</v>
      </c>
      <c r="F346" s="10" t="s">
        <v>74</v>
      </c>
      <c r="G346" s="10" t="str">
        <f t="shared" si="3"/>
        <v>11934A</v>
      </c>
    </row>
    <row r="347" spans="1:7" x14ac:dyDescent="0.25">
      <c r="A347">
        <f>IF(AND(Sheet2!B347=Sheet1!B$19,Sheet2!C347=Sheet1!C$19,Sheet2!D347=Sheet1!D$19),1,0)</f>
        <v>0</v>
      </c>
      <c r="B347" s="10" t="s">
        <v>13</v>
      </c>
      <c r="C347" s="11">
        <v>0.375</v>
      </c>
      <c r="D347" s="22">
        <v>14</v>
      </c>
      <c r="E347" s="22">
        <v>11935</v>
      </c>
      <c r="F347" s="10" t="s">
        <v>74</v>
      </c>
      <c r="G347" s="10" t="str">
        <f t="shared" si="3"/>
        <v>11935A</v>
      </c>
    </row>
    <row r="348" spans="1:7" x14ac:dyDescent="0.25">
      <c r="A348">
        <f>IF(AND(Sheet2!B348=Sheet1!B$19,Sheet2!C348=Sheet1!C$19,Sheet2!D348=Sheet1!D$19),1,0)</f>
        <v>0</v>
      </c>
      <c r="B348" s="10" t="s">
        <v>13</v>
      </c>
      <c r="C348" s="11">
        <v>0.375</v>
      </c>
      <c r="D348" s="22">
        <v>15</v>
      </c>
      <c r="E348" s="22">
        <v>11936</v>
      </c>
      <c r="F348" s="10" t="s">
        <v>74</v>
      </c>
      <c r="G348" s="10" t="str">
        <f t="shared" si="3"/>
        <v>11936A</v>
      </c>
    </row>
    <row r="349" spans="1:7" x14ac:dyDescent="0.25">
      <c r="A349">
        <f>IF(AND(Sheet2!B349=Sheet1!B$19,Sheet2!C349=Sheet1!C$19,Sheet2!D349=Sheet1!D$19),1,0)</f>
        <v>0</v>
      </c>
      <c r="B349" s="10" t="s">
        <v>13</v>
      </c>
      <c r="C349" s="11">
        <v>0.375</v>
      </c>
      <c r="D349" s="22">
        <v>16</v>
      </c>
      <c r="E349" s="22">
        <v>11937</v>
      </c>
      <c r="F349" s="10" t="s">
        <v>74</v>
      </c>
      <c r="G349" s="10" t="str">
        <f t="shared" si="3"/>
        <v>11937A</v>
      </c>
    </row>
    <row r="350" spans="1:7" x14ac:dyDescent="0.25">
      <c r="A350">
        <f>IF(AND(Sheet2!B350=Sheet1!B$19,Sheet2!C350=Sheet1!C$19,Sheet2!D350=Sheet1!D$19),1,0)</f>
        <v>0</v>
      </c>
      <c r="B350" s="10" t="s">
        <v>13</v>
      </c>
      <c r="C350" s="11">
        <v>0.375</v>
      </c>
      <c r="D350" s="22">
        <v>17</v>
      </c>
      <c r="E350" s="22">
        <v>11938</v>
      </c>
      <c r="F350" s="10" t="s">
        <v>74</v>
      </c>
      <c r="G350" s="10" t="str">
        <f t="shared" si="3"/>
        <v>11938A</v>
      </c>
    </row>
    <row r="351" spans="1:7" x14ac:dyDescent="0.25">
      <c r="A351">
        <f>IF(AND(Sheet2!B351=Sheet1!B$19,Sheet2!C351=Sheet1!C$19,Sheet2!D351=Sheet1!D$19),1,0)</f>
        <v>0</v>
      </c>
      <c r="B351" s="10" t="s">
        <v>13</v>
      </c>
      <c r="C351" s="11">
        <v>0.375</v>
      </c>
      <c r="D351" s="22">
        <v>18</v>
      </c>
      <c r="E351" s="22">
        <v>11939</v>
      </c>
      <c r="F351" s="10" t="s">
        <v>74</v>
      </c>
      <c r="G351" s="10" t="str">
        <f t="shared" si="3"/>
        <v>11939A</v>
      </c>
    </row>
    <row r="352" spans="1:7" x14ac:dyDescent="0.25">
      <c r="A352">
        <f>IF(AND(Sheet2!B352=Sheet1!B$19,Sheet2!C352=Sheet1!C$19,Sheet2!D352=Sheet1!D$19),1,0)</f>
        <v>0</v>
      </c>
      <c r="B352" s="10" t="s">
        <v>13</v>
      </c>
      <c r="C352" s="11">
        <v>0.375</v>
      </c>
      <c r="D352" s="22">
        <v>19</v>
      </c>
      <c r="E352" s="22">
        <v>11940</v>
      </c>
      <c r="F352" s="10" t="s">
        <v>74</v>
      </c>
      <c r="G352" s="10" t="str">
        <f t="shared" si="3"/>
        <v>11940A</v>
      </c>
    </row>
    <row r="353" spans="1:7" x14ac:dyDescent="0.25">
      <c r="A353">
        <f>IF(AND(Sheet2!B353=Sheet1!B$19,Sheet2!C353=Sheet1!C$19,Sheet2!D353=Sheet1!D$19),1,0)</f>
        <v>0</v>
      </c>
      <c r="B353" s="10" t="s">
        <v>13</v>
      </c>
      <c r="C353" s="11">
        <v>0.375</v>
      </c>
      <c r="D353" s="22">
        <v>20</v>
      </c>
      <c r="E353" s="22">
        <v>11941</v>
      </c>
      <c r="F353" s="10" t="s">
        <v>74</v>
      </c>
      <c r="G353" s="10" t="str">
        <f t="shared" si="3"/>
        <v>11941A</v>
      </c>
    </row>
    <row r="354" spans="1:7" x14ac:dyDescent="0.25">
      <c r="A354">
        <f>IF(AND(Sheet2!B354=Sheet1!B$19,Sheet2!C354=Sheet1!C$19,Sheet2!D354=Sheet1!D$19),1,0)</f>
        <v>0</v>
      </c>
      <c r="B354" s="10" t="s">
        <v>13</v>
      </c>
      <c r="C354" s="11">
        <v>0.375</v>
      </c>
      <c r="D354" s="22">
        <v>21</v>
      </c>
      <c r="E354" s="22">
        <v>11942</v>
      </c>
      <c r="F354" s="10" t="s">
        <v>74</v>
      </c>
      <c r="G354" s="10" t="str">
        <f t="shared" si="3"/>
        <v>11942A</v>
      </c>
    </row>
    <row r="355" spans="1:7" x14ac:dyDescent="0.25">
      <c r="A355">
        <f>IF(AND(Sheet2!B355=Sheet1!B$19,Sheet2!C355=Sheet1!C$19,Sheet2!D355=Sheet1!D$19),1,0)</f>
        <v>0</v>
      </c>
      <c r="B355" s="10" t="s">
        <v>13</v>
      </c>
      <c r="C355" s="11">
        <v>0.375</v>
      </c>
      <c r="D355" s="22">
        <v>22</v>
      </c>
      <c r="E355" s="22">
        <v>11943</v>
      </c>
      <c r="F355" s="10" t="s">
        <v>74</v>
      </c>
      <c r="G355" s="10" t="str">
        <f t="shared" si="3"/>
        <v>11943A</v>
      </c>
    </row>
    <row r="356" spans="1:7" x14ac:dyDescent="0.25">
      <c r="A356">
        <f>IF(AND(Sheet2!B356=Sheet1!B$19,Sheet2!C356=Sheet1!C$19,Sheet2!D356=Sheet1!D$19),1,0)</f>
        <v>0</v>
      </c>
      <c r="B356" s="10" t="s">
        <v>13</v>
      </c>
      <c r="C356" s="11">
        <v>0.375</v>
      </c>
      <c r="D356" s="22">
        <v>23</v>
      </c>
      <c r="E356" s="22">
        <v>11944</v>
      </c>
      <c r="F356" s="10" t="s">
        <v>74</v>
      </c>
      <c r="G356" s="10" t="str">
        <f t="shared" si="3"/>
        <v>11944A</v>
      </c>
    </row>
    <row r="357" spans="1:7" x14ac:dyDescent="0.25">
      <c r="A357">
        <f>IF(AND(Sheet2!B357=Sheet1!B$19,Sheet2!C357=Sheet1!C$19,Sheet2!D357=Sheet1!D$19),1,0)</f>
        <v>0</v>
      </c>
      <c r="B357" s="10" t="s">
        <v>13</v>
      </c>
      <c r="C357" s="11">
        <v>0.375</v>
      </c>
      <c r="D357" s="22">
        <v>24</v>
      </c>
      <c r="E357" s="22">
        <v>11945</v>
      </c>
      <c r="F357" s="10" t="s">
        <v>74</v>
      </c>
      <c r="G357" s="10" t="str">
        <f t="shared" si="3"/>
        <v>11945A</v>
      </c>
    </row>
    <row r="358" spans="1:7" x14ac:dyDescent="0.25">
      <c r="A358">
        <f>IF(AND(Sheet2!B358=Sheet1!B$19,Sheet2!C358=Sheet1!C$19,Sheet2!D358=Sheet1!D$19),1,0)</f>
        <v>0</v>
      </c>
      <c r="B358" s="10" t="s">
        <v>13</v>
      </c>
      <c r="C358" s="11">
        <v>0.375</v>
      </c>
      <c r="D358" s="22">
        <v>25</v>
      </c>
      <c r="E358" s="22">
        <v>11946</v>
      </c>
      <c r="F358" s="10" t="s">
        <v>74</v>
      </c>
      <c r="G358" s="10" t="str">
        <f t="shared" si="3"/>
        <v>11946A</v>
      </c>
    </row>
    <row r="359" spans="1:7" x14ac:dyDescent="0.25">
      <c r="A359">
        <f>IF(AND(Sheet2!B359=Sheet1!B$19,Sheet2!C359=Sheet1!C$19,Sheet2!D359=Sheet1!D$19),1,0)</f>
        <v>0</v>
      </c>
      <c r="B359" s="10" t="s">
        <v>13</v>
      </c>
      <c r="C359" s="11">
        <v>0.375</v>
      </c>
      <c r="D359" s="22">
        <v>26</v>
      </c>
      <c r="E359" s="22">
        <v>11947</v>
      </c>
      <c r="F359" s="10" t="s">
        <v>74</v>
      </c>
      <c r="G359" s="10" t="str">
        <f t="shared" si="3"/>
        <v>11947A</v>
      </c>
    </row>
    <row r="360" spans="1:7" x14ac:dyDescent="0.25">
      <c r="A360">
        <f>IF(AND(Sheet2!B360=Sheet1!B$19,Sheet2!C360=Sheet1!C$19,Sheet2!D360=Sheet1!D$19),1,0)</f>
        <v>0</v>
      </c>
      <c r="B360" s="10" t="s">
        <v>13</v>
      </c>
      <c r="C360" s="11">
        <v>0.375</v>
      </c>
      <c r="D360" s="22">
        <v>27</v>
      </c>
      <c r="E360" s="22">
        <v>11948</v>
      </c>
      <c r="F360" s="10" t="s">
        <v>74</v>
      </c>
      <c r="G360" s="10" t="str">
        <f t="shared" si="3"/>
        <v>11948A</v>
      </c>
    </row>
    <row r="361" spans="1:7" x14ac:dyDescent="0.25">
      <c r="A361">
        <f>IF(AND(Sheet2!B361=Sheet1!B$19,Sheet2!C361=Sheet1!C$19,Sheet2!D361=Sheet1!D$19),1,0)</f>
        <v>0</v>
      </c>
      <c r="B361" s="10" t="s">
        <v>13</v>
      </c>
      <c r="C361" s="11">
        <v>0.375</v>
      </c>
      <c r="D361" s="22">
        <v>28</v>
      </c>
      <c r="E361" s="22">
        <v>11949</v>
      </c>
      <c r="F361" s="10" t="s">
        <v>74</v>
      </c>
      <c r="G361" s="10" t="str">
        <f t="shared" si="3"/>
        <v>11949A</v>
      </c>
    </row>
    <row r="362" spans="1:7" x14ac:dyDescent="0.25">
      <c r="A362">
        <f>IF(AND(Sheet2!B362=Sheet1!B$19,Sheet2!C362=Sheet1!C$19,Sheet2!D362=Sheet1!D$19),1,0)</f>
        <v>0</v>
      </c>
      <c r="B362" s="10" t="s">
        <v>13</v>
      </c>
      <c r="C362" s="11">
        <v>0.375</v>
      </c>
      <c r="D362" s="22">
        <v>29</v>
      </c>
      <c r="E362" s="22">
        <v>11950</v>
      </c>
      <c r="F362" s="10" t="s">
        <v>74</v>
      </c>
      <c r="G362" s="10" t="str">
        <f t="shared" si="3"/>
        <v>11950A</v>
      </c>
    </row>
    <row r="363" spans="1:7" x14ac:dyDescent="0.25">
      <c r="A363">
        <f>IF(AND(Sheet2!B363=Sheet1!B$19,Sheet2!C363=Sheet1!C$19,Sheet2!D363=Sheet1!D$19),1,0)</f>
        <v>0</v>
      </c>
      <c r="B363" s="10" t="s">
        <v>13</v>
      </c>
      <c r="C363" s="11">
        <v>0.375</v>
      </c>
      <c r="D363" s="22">
        <v>30</v>
      </c>
      <c r="E363" s="22">
        <v>11951</v>
      </c>
      <c r="F363" s="10" t="s">
        <v>74</v>
      </c>
      <c r="G363" s="10" t="str">
        <f t="shared" si="3"/>
        <v>11951A</v>
      </c>
    </row>
    <row r="364" spans="1:7" x14ac:dyDescent="0.25">
      <c r="A364">
        <f>IF(AND(Sheet2!B364=Sheet1!B$19,Sheet2!C364=Sheet1!C$19,Sheet2!D364=Sheet1!D$19),1,0)</f>
        <v>0</v>
      </c>
      <c r="B364" s="10" t="s">
        <v>13</v>
      </c>
      <c r="C364" s="11">
        <v>0.375</v>
      </c>
      <c r="D364" s="22">
        <v>31</v>
      </c>
      <c r="E364" s="22">
        <v>11952</v>
      </c>
      <c r="F364" s="10" t="s">
        <v>74</v>
      </c>
      <c r="G364" s="10" t="str">
        <f t="shared" si="3"/>
        <v>11952A</v>
      </c>
    </row>
    <row r="365" spans="1:7" x14ac:dyDescent="0.25">
      <c r="A365">
        <f>IF(AND(Sheet2!B365=Sheet1!B$19,Sheet2!C365=Sheet1!C$19,Sheet2!D365=Sheet1!D$19),1,0)</f>
        <v>0</v>
      </c>
      <c r="B365" s="10" t="s">
        <v>13</v>
      </c>
      <c r="C365" s="11">
        <v>0.375</v>
      </c>
      <c r="D365" s="22">
        <v>32</v>
      </c>
      <c r="E365" s="22">
        <v>11953</v>
      </c>
      <c r="F365" s="10" t="s">
        <v>74</v>
      </c>
      <c r="G365" s="10" t="str">
        <f t="shared" si="3"/>
        <v>11953A</v>
      </c>
    </row>
    <row r="366" spans="1:7" x14ac:dyDescent="0.25">
      <c r="A366">
        <f>IF(AND(Sheet2!B366=Sheet1!B$19,Sheet2!C366=Sheet1!C$19,Sheet2!D366=Sheet1!D$19),1,0)</f>
        <v>0</v>
      </c>
      <c r="B366" s="10" t="s">
        <v>13</v>
      </c>
      <c r="C366" s="11">
        <v>0.375</v>
      </c>
      <c r="D366" s="22">
        <v>33</v>
      </c>
      <c r="E366" s="22">
        <v>11954</v>
      </c>
      <c r="F366" s="10" t="s">
        <v>74</v>
      </c>
      <c r="G366" s="10" t="str">
        <f t="shared" si="3"/>
        <v>11954A</v>
      </c>
    </row>
    <row r="367" spans="1:7" x14ac:dyDescent="0.25">
      <c r="A367">
        <f>IF(AND(Sheet2!B367=Sheet1!B$19,Sheet2!C367=Sheet1!C$19,Sheet2!D367=Sheet1!D$19),1,0)</f>
        <v>0</v>
      </c>
      <c r="B367" s="10" t="s">
        <v>13</v>
      </c>
      <c r="C367" s="11">
        <v>0.375</v>
      </c>
      <c r="D367" s="22">
        <v>34</v>
      </c>
      <c r="E367" s="22">
        <v>11955</v>
      </c>
      <c r="F367" s="10" t="s">
        <v>74</v>
      </c>
      <c r="G367" s="10" t="str">
        <f t="shared" si="3"/>
        <v>11955A</v>
      </c>
    </row>
    <row r="368" spans="1:7" x14ac:dyDescent="0.25">
      <c r="A368">
        <f>IF(AND(Sheet2!B368=Sheet1!B$19,Sheet2!C368=Sheet1!C$19,Sheet2!D368=Sheet1!D$19),1,0)</f>
        <v>0</v>
      </c>
      <c r="B368" s="10" t="s">
        <v>13</v>
      </c>
      <c r="C368" s="11">
        <v>0.375</v>
      </c>
      <c r="D368" s="22">
        <v>35</v>
      </c>
      <c r="E368" s="22">
        <v>11956</v>
      </c>
      <c r="F368" s="10" t="s">
        <v>74</v>
      </c>
      <c r="G368" s="10" t="str">
        <f t="shared" si="3"/>
        <v>11956A</v>
      </c>
    </row>
    <row r="369" spans="1:7" x14ac:dyDescent="0.25">
      <c r="A369">
        <f>IF(AND(Sheet2!B369=Sheet1!B$19,Sheet2!C369=Sheet1!C$19,Sheet2!D369=Sheet1!D$19),1,0)</f>
        <v>0</v>
      </c>
      <c r="B369" s="10" t="s">
        <v>13</v>
      </c>
      <c r="C369" s="11">
        <v>0.375</v>
      </c>
      <c r="D369" s="22">
        <v>36</v>
      </c>
      <c r="E369" s="22">
        <v>11957</v>
      </c>
      <c r="F369" s="10" t="s">
        <v>74</v>
      </c>
      <c r="G369" s="10" t="str">
        <f t="shared" si="3"/>
        <v>11957A</v>
      </c>
    </row>
    <row r="370" spans="1:7" x14ac:dyDescent="0.25">
      <c r="A370">
        <f>IF(AND(Sheet2!B370=Sheet1!B$19,Sheet2!C370=Sheet1!C$19,Sheet2!D370=Sheet1!D$19),1,0)</f>
        <v>0</v>
      </c>
      <c r="B370" s="10" t="s">
        <v>13</v>
      </c>
      <c r="C370" s="11">
        <v>0.375</v>
      </c>
      <c r="D370" s="22">
        <v>37</v>
      </c>
      <c r="E370" s="22">
        <v>11958</v>
      </c>
      <c r="F370" s="10" t="s">
        <v>74</v>
      </c>
      <c r="G370" s="10" t="str">
        <f t="shared" si="3"/>
        <v>11958A</v>
      </c>
    </row>
    <row r="371" spans="1:7" x14ac:dyDescent="0.25">
      <c r="A371">
        <f>IF(AND(Sheet2!B371=Sheet1!B$19,Sheet2!C371=Sheet1!C$19,Sheet2!D371=Sheet1!D$19),1,0)</f>
        <v>0</v>
      </c>
      <c r="B371" s="10" t="s">
        <v>13</v>
      </c>
      <c r="C371" s="11">
        <v>0.375</v>
      </c>
      <c r="D371" s="22">
        <v>38</v>
      </c>
      <c r="E371" s="22">
        <v>11959</v>
      </c>
      <c r="F371" s="10" t="s">
        <v>74</v>
      </c>
      <c r="G371" s="10" t="str">
        <f t="shared" si="3"/>
        <v>11959A</v>
      </c>
    </row>
    <row r="372" spans="1:7" x14ac:dyDescent="0.25">
      <c r="A372">
        <f>IF(AND(Sheet2!B372=Sheet1!B$19,Sheet2!C372=Sheet1!C$19,Sheet2!D372=Sheet1!D$19),1,0)</f>
        <v>0</v>
      </c>
      <c r="B372" s="10" t="s">
        <v>13</v>
      </c>
      <c r="C372" s="11">
        <v>0.375</v>
      </c>
      <c r="D372" s="22">
        <v>39</v>
      </c>
      <c r="E372" s="22">
        <v>11960</v>
      </c>
      <c r="F372" s="10" t="s">
        <v>74</v>
      </c>
      <c r="G372" s="10" t="str">
        <f t="shared" si="3"/>
        <v>11960A</v>
      </c>
    </row>
    <row r="373" spans="1:7" x14ac:dyDescent="0.25">
      <c r="A373">
        <f>IF(AND(Sheet2!B373=Sheet1!B$19,Sheet2!C373=Sheet1!C$19,Sheet2!D373=Sheet1!D$19),1,0)</f>
        <v>0</v>
      </c>
      <c r="B373" s="10" t="s">
        <v>13</v>
      </c>
      <c r="C373" s="11">
        <v>0.375</v>
      </c>
      <c r="D373" s="22">
        <v>40</v>
      </c>
      <c r="E373" s="22">
        <v>11961</v>
      </c>
      <c r="F373" s="10" t="s">
        <v>74</v>
      </c>
      <c r="G373" s="10" t="str">
        <f t="shared" si="3"/>
        <v>11961A</v>
      </c>
    </row>
    <row r="374" spans="1:7" x14ac:dyDescent="0.25">
      <c r="A374">
        <f>IF(AND(Sheet2!B374=Sheet1!B$19,Sheet2!C374=Sheet1!C$19,Sheet2!D374=Sheet1!D$19),1,0)</f>
        <v>0</v>
      </c>
      <c r="B374" s="10" t="s">
        <v>13</v>
      </c>
      <c r="C374" s="11">
        <v>0.375</v>
      </c>
      <c r="D374" s="22">
        <v>41</v>
      </c>
      <c r="E374" s="22">
        <v>11962</v>
      </c>
      <c r="F374" s="10" t="s">
        <v>74</v>
      </c>
      <c r="G374" s="10" t="str">
        <f t="shared" si="3"/>
        <v>11962A</v>
      </c>
    </row>
    <row r="375" spans="1:7" x14ac:dyDescent="0.25">
      <c r="A375">
        <f>IF(AND(Sheet2!B375=Sheet1!B$19,Sheet2!C375=Sheet1!C$19,Sheet2!D375=Sheet1!D$19),1,0)</f>
        <v>0</v>
      </c>
      <c r="B375" s="10" t="s">
        <v>13</v>
      </c>
      <c r="C375" s="11">
        <v>0.375</v>
      </c>
      <c r="D375" s="22">
        <v>42</v>
      </c>
      <c r="E375" s="22">
        <v>11963</v>
      </c>
      <c r="F375" s="10" t="s">
        <v>74</v>
      </c>
      <c r="G375" s="10" t="str">
        <f t="shared" si="3"/>
        <v>11963A</v>
      </c>
    </row>
    <row r="376" spans="1:7" x14ac:dyDescent="0.25">
      <c r="A376">
        <f>IF(AND(Sheet2!B376=Sheet1!B$19,Sheet2!C376=Sheet1!C$19,Sheet2!D376=Sheet1!D$19),1,0)</f>
        <v>0</v>
      </c>
      <c r="B376" s="10" t="s">
        <v>13</v>
      </c>
      <c r="C376" s="11">
        <v>0.375</v>
      </c>
      <c r="D376" s="22">
        <v>43</v>
      </c>
      <c r="E376" s="22">
        <v>11964</v>
      </c>
      <c r="F376" s="10" t="s">
        <v>74</v>
      </c>
      <c r="G376" s="10" t="str">
        <f t="shared" si="3"/>
        <v>11964A</v>
      </c>
    </row>
    <row r="377" spans="1:7" x14ac:dyDescent="0.25">
      <c r="A377">
        <f>IF(AND(Sheet2!B377=Sheet1!B$19,Sheet2!C377=Sheet1!C$19,Sheet2!D377=Sheet1!D$19),1,0)</f>
        <v>0</v>
      </c>
      <c r="B377" s="10" t="s">
        <v>13</v>
      </c>
      <c r="C377" s="11">
        <v>0.375</v>
      </c>
      <c r="D377" s="22">
        <v>44</v>
      </c>
      <c r="E377" s="22">
        <v>11965</v>
      </c>
      <c r="F377" s="10" t="s">
        <v>74</v>
      </c>
      <c r="G377" s="10" t="str">
        <f t="shared" si="3"/>
        <v>11965A</v>
      </c>
    </row>
    <row r="378" spans="1:7" x14ac:dyDescent="0.25">
      <c r="A378">
        <f>IF(AND(Sheet2!B378=Sheet1!B$19,Sheet2!C378=Sheet1!C$19,Sheet2!D378=Sheet1!D$19),1,0)</f>
        <v>0</v>
      </c>
      <c r="B378" s="10" t="s">
        <v>13</v>
      </c>
      <c r="C378" s="11">
        <v>0.375</v>
      </c>
      <c r="D378" s="22">
        <v>45</v>
      </c>
      <c r="E378" s="22">
        <v>11966</v>
      </c>
      <c r="F378" s="10" t="s">
        <v>74</v>
      </c>
      <c r="G378" s="10" t="str">
        <f t="shared" si="3"/>
        <v>11966A</v>
      </c>
    </row>
    <row r="379" spans="1:7" x14ac:dyDescent="0.25">
      <c r="A379">
        <f>IF(AND(Sheet2!B379=Sheet1!B$19,Sheet2!C379=Sheet1!C$19,Sheet2!D379=Sheet1!D$19),1,0)</f>
        <v>0</v>
      </c>
      <c r="B379" s="10" t="s">
        <v>13</v>
      </c>
      <c r="C379" s="11">
        <v>0.375</v>
      </c>
      <c r="D379" s="22">
        <v>46</v>
      </c>
      <c r="E379" s="22">
        <v>11967</v>
      </c>
      <c r="F379" s="10" t="s">
        <v>74</v>
      </c>
      <c r="G379" s="10" t="str">
        <f t="shared" si="3"/>
        <v>11967A</v>
      </c>
    </row>
    <row r="380" spans="1:7" x14ac:dyDescent="0.25">
      <c r="A380">
        <f>IF(AND(Sheet2!B380=Sheet1!B$19,Sheet2!C380=Sheet1!C$19,Sheet2!D380=Sheet1!D$19),1,0)</f>
        <v>0</v>
      </c>
      <c r="B380" s="10" t="s">
        <v>13</v>
      </c>
      <c r="C380" s="11">
        <v>0.375</v>
      </c>
      <c r="D380" s="22">
        <v>47</v>
      </c>
      <c r="E380" s="22">
        <v>11968</v>
      </c>
      <c r="F380" s="10" t="s">
        <v>74</v>
      </c>
      <c r="G380" s="10" t="str">
        <f t="shared" si="3"/>
        <v>11968A</v>
      </c>
    </row>
    <row r="381" spans="1:7" x14ac:dyDescent="0.25">
      <c r="A381">
        <f>IF(AND(Sheet2!B381=Sheet1!B$19,Sheet2!C381=Sheet1!C$19,Sheet2!D381=Sheet1!D$19),1,0)</f>
        <v>0</v>
      </c>
      <c r="B381" s="10" t="s">
        <v>13</v>
      </c>
      <c r="C381" s="11">
        <v>0.375</v>
      </c>
      <c r="D381" s="22">
        <v>48</v>
      </c>
      <c r="E381" s="22">
        <v>11969</v>
      </c>
      <c r="F381" s="10" t="s">
        <v>74</v>
      </c>
      <c r="G381" s="10" t="str">
        <f t="shared" si="3"/>
        <v>11969A</v>
      </c>
    </row>
    <row r="382" spans="1:7" x14ac:dyDescent="0.25">
      <c r="A382">
        <f>IF(AND(Sheet2!B382=Sheet1!B$19,Sheet2!C382=Sheet1!C$19,Sheet2!D382=Sheet1!D$19),1,0)</f>
        <v>0</v>
      </c>
      <c r="B382" s="10" t="s">
        <v>13</v>
      </c>
      <c r="C382" s="11">
        <v>0.375</v>
      </c>
      <c r="D382" s="22">
        <v>49</v>
      </c>
      <c r="E382" s="22">
        <v>11970</v>
      </c>
      <c r="F382" s="10" t="s">
        <v>74</v>
      </c>
      <c r="G382" s="10" t="str">
        <f t="shared" si="3"/>
        <v>11970A</v>
      </c>
    </row>
    <row r="383" spans="1:7" x14ac:dyDescent="0.25">
      <c r="A383">
        <f>IF(AND(Sheet2!B383=Sheet1!B$19,Sheet2!C383=Sheet1!C$19,Sheet2!D383=Sheet1!D$19),1,0)</f>
        <v>0</v>
      </c>
      <c r="B383" s="10" t="s">
        <v>13</v>
      </c>
      <c r="C383" s="11">
        <v>0.375</v>
      </c>
      <c r="D383" s="22">
        <v>50</v>
      </c>
      <c r="E383" s="22">
        <v>11971</v>
      </c>
      <c r="F383" s="10" t="s">
        <v>74</v>
      </c>
      <c r="G383" s="10" t="str">
        <f t="shared" si="3"/>
        <v>11971A</v>
      </c>
    </row>
    <row r="384" spans="1:7" x14ac:dyDescent="0.25">
      <c r="A384">
        <f>IF(AND(Sheet2!B384=Sheet1!B$19,Sheet2!C384=Sheet1!C$19,Sheet2!D384=Sheet1!D$19),1,0)</f>
        <v>0</v>
      </c>
      <c r="B384" s="10" t="s">
        <v>13</v>
      </c>
      <c r="C384" s="11">
        <v>0.375</v>
      </c>
      <c r="D384" s="22">
        <v>51</v>
      </c>
      <c r="E384" s="22">
        <v>11972</v>
      </c>
      <c r="F384" s="10" t="s">
        <v>74</v>
      </c>
      <c r="G384" s="10" t="str">
        <f t="shared" si="3"/>
        <v>11972A</v>
      </c>
    </row>
    <row r="385" spans="1:7" x14ac:dyDescent="0.25">
      <c r="A385">
        <f>IF(AND(Sheet2!B385=Sheet1!B$19,Sheet2!C385=Sheet1!C$19,Sheet2!D385=Sheet1!D$19),1,0)</f>
        <v>0</v>
      </c>
      <c r="B385" s="10" t="s">
        <v>13</v>
      </c>
      <c r="C385" s="11">
        <v>0.375</v>
      </c>
      <c r="D385" s="22">
        <v>52</v>
      </c>
      <c r="E385" s="22">
        <v>11973</v>
      </c>
      <c r="F385" s="10" t="s">
        <v>74</v>
      </c>
      <c r="G385" s="10" t="str">
        <f t="shared" si="3"/>
        <v>11973A</v>
      </c>
    </row>
    <row r="386" spans="1:7" x14ac:dyDescent="0.25">
      <c r="A386">
        <f>IF(AND(Sheet2!B386=Sheet1!B$19,Sheet2!C386=Sheet1!C$19,Sheet2!D386=Sheet1!D$19),1,0)</f>
        <v>0</v>
      </c>
      <c r="B386" s="10" t="s">
        <v>13</v>
      </c>
      <c r="C386" s="11">
        <v>0.375</v>
      </c>
      <c r="D386" s="22">
        <v>53</v>
      </c>
      <c r="E386" s="22">
        <v>11974</v>
      </c>
      <c r="F386" s="10" t="s">
        <v>74</v>
      </c>
      <c r="G386" s="10" t="str">
        <f t="shared" si="3"/>
        <v>11974A</v>
      </c>
    </row>
    <row r="387" spans="1:7" x14ac:dyDescent="0.25">
      <c r="A387">
        <f>IF(AND(Sheet2!B387=Sheet1!B$19,Sheet2!C387=Sheet1!C$19,Sheet2!D387=Sheet1!D$19),1,0)</f>
        <v>0</v>
      </c>
      <c r="B387" s="10" t="s">
        <v>13</v>
      </c>
      <c r="C387" s="11">
        <v>0.375</v>
      </c>
      <c r="D387" s="22">
        <v>54</v>
      </c>
      <c r="E387" s="22">
        <v>11975</v>
      </c>
      <c r="F387" s="10" t="s">
        <v>74</v>
      </c>
      <c r="G387" s="10" t="str">
        <f t="shared" si="3"/>
        <v>11975A</v>
      </c>
    </row>
    <row r="388" spans="1:7" x14ac:dyDescent="0.25">
      <c r="A388">
        <f>IF(AND(Sheet2!B388=Sheet1!B$19,Sheet2!C388=Sheet1!C$19,Sheet2!D388=Sheet1!D$19),1,0)</f>
        <v>0</v>
      </c>
      <c r="B388" s="10" t="s">
        <v>13</v>
      </c>
      <c r="C388" s="11">
        <v>0.375</v>
      </c>
      <c r="D388" s="22">
        <v>55</v>
      </c>
      <c r="E388" s="22">
        <v>11976</v>
      </c>
      <c r="F388" s="10" t="s">
        <v>74</v>
      </c>
      <c r="G388" s="10" t="str">
        <f t="shared" si="3"/>
        <v>11976A</v>
      </c>
    </row>
    <row r="389" spans="1:7" x14ac:dyDescent="0.25">
      <c r="A389">
        <f>IF(AND(Sheet2!B389=Sheet1!B$19,Sheet2!C389=Sheet1!C$19,Sheet2!D389=Sheet1!D$19),1,0)</f>
        <v>0</v>
      </c>
      <c r="B389" s="10" t="s">
        <v>13</v>
      </c>
      <c r="C389" s="11">
        <v>0.375</v>
      </c>
      <c r="D389" s="22">
        <v>56</v>
      </c>
      <c r="E389" s="22">
        <v>11977</v>
      </c>
      <c r="F389" s="10" t="s">
        <v>74</v>
      </c>
      <c r="G389" s="10" t="str">
        <f t="shared" si="3"/>
        <v>11977A</v>
      </c>
    </row>
    <row r="390" spans="1:7" x14ac:dyDescent="0.25">
      <c r="A390">
        <f>IF(AND(Sheet2!B390=Sheet1!B$19,Sheet2!C390=Sheet1!C$19,Sheet2!D390=Sheet1!D$19),1,0)</f>
        <v>0</v>
      </c>
      <c r="B390" s="10" t="s">
        <v>13</v>
      </c>
      <c r="C390" s="11">
        <v>0.375</v>
      </c>
      <c r="D390" s="22">
        <v>57</v>
      </c>
      <c r="E390" s="22">
        <v>11978</v>
      </c>
      <c r="F390" s="10" t="s">
        <v>74</v>
      </c>
      <c r="G390" s="10" t="str">
        <f t="shared" si="3"/>
        <v>11978A</v>
      </c>
    </row>
    <row r="391" spans="1:7" x14ac:dyDescent="0.25">
      <c r="A391">
        <f>IF(AND(Sheet2!B391=Sheet1!B$19,Sheet2!C391=Sheet1!C$19,Sheet2!D391=Sheet1!D$19),1,0)</f>
        <v>0</v>
      </c>
      <c r="B391" s="10" t="s">
        <v>13</v>
      </c>
      <c r="C391" s="11">
        <v>0.375</v>
      </c>
      <c r="D391" s="22">
        <v>58</v>
      </c>
      <c r="E391" s="22">
        <v>11979</v>
      </c>
      <c r="F391" s="10" t="s">
        <v>74</v>
      </c>
      <c r="G391" s="10" t="str">
        <f t="shared" si="3"/>
        <v>11979A</v>
      </c>
    </row>
    <row r="392" spans="1:7" x14ac:dyDescent="0.25">
      <c r="A392">
        <f>IF(AND(Sheet2!B392=Sheet1!B$19,Sheet2!C392=Sheet1!C$19,Sheet2!D392=Sheet1!D$19),1,0)</f>
        <v>0</v>
      </c>
      <c r="B392" s="10" t="s">
        <v>13</v>
      </c>
      <c r="C392" s="11">
        <v>0.375</v>
      </c>
      <c r="D392" s="22">
        <v>59</v>
      </c>
      <c r="E392" s="22">
        <v>11980</v>
      </c>
      <c r="F392" s="10" t="s">
        <v>74</v>
      </c>
      <c r="G392" s="10" t="str">
        <f t="shared" si="3"/>
        <v>11980A</v>
      </c>
    </row>
    <row r="393" spans="1:7" x14ac:dyDescent="0.25">
      <c r="A393">
        <f>IF(AND(Sheet2!B393=Sheet1!B$19,Sheet2!C393=Sheet1!C$19,Sheet2!D393=Sheet1!D$19),1,0)</f>
        <v>0</v>
      </c>
      <c r="B393" s="10" t="s">
        <v>13</v>
      </c>
      <c r="C393" s="11">
        <v>0.375</v>
      </c>
      <c r="D393" s="22">
        <v>60</v>
      </c>
      <c r="E393" s="22">
        <v>11981</v>
      </c>
      <c r="F393" s="10" t="s">
        <v>74</v>
      </c>
      <c r="G393" s="10" t="str">
        <f t="shared" si="3"/>
        <v>11981A</v>
      </c>
    </row>
    <row r="394" spans="1:7" x14ac:dyDescent="0.25">
      <c r="A394">
        <f>IF(AND(Sheet2!B394=Sheet1!B$19,Sheet2!C394=Sheet1!C$19,Sheet2!D394=Sheet1!D$19),1,0)</f>
        <v>0</v>
      </c>
      <c r="B394" s="10" t="s">
        <v>13</v>
      </c>
      <c r="C394" s="11">
        <v>0.5</v>
      </c>
      <c r="D394" s="22">
        <v>2</v>
      </c>
      <c r="E394" s="22">
        <v>11746</v>
      </c>
      <c r="F394" s="10" t="s">
        <v>74</v>
      </c>
      <c r="G394" s="10" t="str">
        <f t="shared" si="3"/>
        <v>11746A</v>
      </c>
    </row>
    <row r="395" spans="1:7" x14ac:dyDescent="0.25">
      <c r="A395">
        <f>IF(AND(Sheet2!B395=Sheet1!B$19,Sheet2!C395=Sheet1!C$19,Sheet2!D395=Sheet1!D$19),1,0)</f>
        <v>0</v>
      </c>
      <c r="B395" s="10" t="s">
        <v>13</v>
      </c>
      <c r="C395" s="11">
        <v>0.5</v>
      </c>
      <c r="D395" s="22">
        <v>3</v>
      </c>
      <c r="E395" s="22">
        <v>11747</v>
      </c>
      <c r="F395" s="10" t="s">
        <v>74</v>
      </c>
      <c r="G395" s="10" t="str">
        <f t="shared" si="3"/>
        <v>11747A</v>
      </c>
    </row>
    <row r="396" spans="1:7" x14ac:dyDescent="0.25">
      <c r="A396">
        <f>IF(AND(Sheet2!B396=Sheet1!B$19,Sheet2!C396=Sheet1!C$19,Sheet2!D396=Sheet1!D$19),1,0)</f>
        <v>0</v>
      </c>
      <c r="B396" s="10" t="s">
        <v>13</v>
      </c>
      <c r="C396" s="11">
        <v>0.5</v>
      </c>
      <c r="D396" s="22">
        <v>4</v>
      </c>
      <c r="E396" s="22">
        <v>11748</v>
      </c>
      <c r="F396" s="10" t="s">
        <v>74</v>
      </c>
      <c r="G396" s="10" t="str">
        <f t="shared" si="3"/>
        <v>11748A</v>
      </c>
    </row>
    <row r="397" spans="1:7" x14ac:dyDescent="0.25">
      <c r="A397">
        <f>IF(AND(Sheet2!B397=Sheet1!B$19,Sheet2!C397=Sheet1!C$19,Sheet2!D397=Sheet1!D$19),1,0)</f>
        <v>0</v>
      </c>
      <c r="B397" s="10" t="s">
        <v>13</v>
      </c>
      <c r="C397" s="11">
        <v>0.5</v>
      </c>
      <c r="D397" s="22">
        <v>5</v>
      </c>
      <c r="E397" s="22">
        <v>11749</v>
      </c>
      <c r="F397" s="10" t="s">
        <v>74</v>
      </c>
      <c r="G397" s="10" t="str">
        <f t="shared" si="3"/>
        <v>11749A</v>
      </c>
    </row>
    <row r="398" spans="1:7" x14ac:dyDescent="0.25">
      <c r="A398">
        <f>IF(AND(Sheet2!B398=Sheet1!B$19,Sheet2!C398=Sheet1!C$19,Sheet2!D398=Sheet1!D$19),1,0)</f>
        <v>0</v>
      </c>
      <c r="B398" s="10" t="s">
        <v>13</v>
      </c>
      <c r="C398" s="11">
        <v>0.5</v>
      </c>
      <c r="D398" s="22">
        <v>6</v>
      </c>
      <c r="E398" s="22">
        <v>11750</v>
      </c>
      <c r="F398" s="10" t="s">
        <v>74</v>
      </c>
      <c r="G398" s="10" t="str">
        <f t="shared" si="3"/>
        <v>11750A</v>
      </c>
    </row>
    <row r="399" spans="1:7" x14ac:dyDescent="0.25">
      <c r="A399">
        <f>IF(AND(Sheet2!B399=Sheet1!B$19,Sheet2!C399=Sheet1!C$19,Sheet2!D399=Sheet1!D$19),1,0)</f>
        <v>0</v>
      </c>
      <c r="B399" s="10" t="s">
        <v>13</v>
      </c>
      <c r="C399" s="11">
        <v>0.5</v>
      </c>
      <c r="D399" s="22">
        <v>7</v>
      </c>
      <c r="E399" s="22">
        <v>11751</v>
      </c>
      <c r="F399" s="10" t="s">
        <v>74</v>
      </c>
      <c r="G399" s="10" t="str">
        <f t="shared" si="3"/>
        <v>11751A</v>
      </c>
    </row>
    <row r="400" spans="1:7" x14ac:dyDescent="0.25">
      <c r="A400">
        <f>IF(AND(Sheet2!B400=Sheet1!B$19,Sheet2!C400=Sheet1!C$19,Sheet2!D400=Sheet1!D$19),1,0)</f>
        <v>0</v>
      </c>
      <c r="B400" s="10" t="s">
        <v>13</v>
      </c>
      <c r="C400" s="11">
        <v>0.5</v>
      </c>
      <c r="D400" s="22">
        <v>8</v>
      </c>
      <c r="E400" s="22">
        <v>11752</v>
      </c>
      <c r="F400" s="10" t="s">
        <v>74</v>
      </c>
      <c r="G400" s="10" t="str">
        <f t="shared" si="3"/>
        <v>11752A</v>
      </c>
    </row>
    <row r="401" spans="1:7" x14ac:dyDescent="0.25">
      <c r="A401">
        <f>IF(AND(Sheet2!B401=Sheet1!B$19,Sheet2!C401=Sheet1!C$19,Sheet2!D401=Sheet1!D$19),1,0)</f>
        <v>0</v>
      </c>
      <c r="B401" s="10" t="s">
        <v>13</v>
      </c>
      <c r="C401" s="11">
        <v>0.5</v>
      </c>
      <c r="D401" s="22">
        <v>9</v>
      </c>
      <c r="E401" s="22">
        <v>11753</v>
      </c>
      <c r="F401" s="10" t="s">
        <v>74</v>
      </c>
      <c r="G401" s="10" t="str">
        <f t="shared" si="3"/>
        <v>11753A</v>
      </c>
    </row>
    <row r="402" spans="1:7" x14ac:dyDescent="0.25">
      <c r="A402">
        <f>IF(AND(Sheet2!B402=Sheet1!B$19,Sheet2!C402=Sheet1!C$19,Sheet2!D402=Sheet1!D$19),1,0)</f>
        <v>0</v>
      </c>
      <c r="B402" s="10" t="s">
        <v>13</v>
      </c>
      <c r="C402" s="11">
        <v>0.5</v>
      </c>
      <c r="D402" s="22">
        <v>10</v>
      </c>
      <c r="E402" s="22">
        <v>11754</v>
      </c>
      <c r="F402" s="10" t="s">
        <v>74</v>
      </c>
      <c r="G402" s="10" t="str">
        <f t="shared" si="3"/>
        <v>11754A</v>
      </c>
    </row>
    <row r="403" spans="1:7" x14ac:dyDescent="0.25">
      <c r="A403">
        <f>IF(AND(Sheet2!B403=Sheet1!B$19,Sheet2!C403=Sheet1!C$19,Sheet2!D403=Sheet1!D$19),1,0)</f>
        <v>0</v>
      </c>
      <c r="B403" s="10" t="s">
        <v>13</v>
      </c>
      <c r="C403" s="11">
        <v>0.5</v>
      </c>
      <c r="D403" s="22">
        <v>11</v>
      </c>
      <c r="E403" s="22">
        <v>11755</v>
      </c>
      <c r="F403" s="10" t="s">
        <v>74</v>
      </c>
      <c r="G403" s="10" t="str">
        <f t="shared" si="3"/>
        <v>11755A</v>
      </c>
    </row>
    <row r="404" spans="1:7" x14ac:dyDescent="0.25">
      <c r="A404">
        <f>IF(AND(Sheet2!B404=Sheet1!B$19,Sheet2!C404=Sheet1!C$19,Sheet2!D404=Sheet1!D$19),1,0)</f>
        <v>0</v>
      </c>
      <c r="B404" s="10" t="s">
        <v>13</v>
      </c>
      <c r="C404" s="11">
        <v>0.5</v>
      </c>
      <c r="D404" s="22">
        <v>12</v>
      </c>
      <c r="E404" s="22">
        <v>11756</v>
      </c>
      <c r="F404" s="10" t="s">
        <v>74</v>
      </c>
      <c r="G404" s="10" t="str">
        <f t="shared" si="3"/>
        <v>11756A</v>
      </c>
    </row>
    <row r="405" spans="1:7" x14ac:dyDescent="0.25">
      <c r="A405">
        <f>IF(AND(Sheet2!B405=Sheet1!B$19,Sheet2!C405=Sheet1!C$19,Sheet2!D405=Sheet1!D$19),1,0)</f>
        <v>0</v>
      </c>
      <c r="B405" s="10" t="s">
        <v>13</v>
      </c>
      <c r="C405" s="11">
        <v>0.5</v>
      </c>
      <c r="D405" s="22">
        <v>13</v>
      </c>
      <c r="E405" s="22">
        <v>11757</v>
      </c>
      <c r="F405" s="10" t="s">
        <v>74</v>
      </c>
      <c r="G405" s="10" t="str">
        <f t="shared" si="3"/>
        <v>11757A</v>
      </c>
    </row>
    <row r="406" spans="1:7" x14ac:dyDescent="0.25">
      <c r="A406">
        <f>IF(AND(Sheet2!B406=Sheet1!B$19,Sheet2!C406=Sheet1!C$19,Sheet2!D406=Sheet1!D$19),1,0)</f>
        <v>0</v>
      </c>
      <c r="B406" s="10" t="s">
        <v>13</v>
      </c>
      <c r="C406" s="11">
        <v>0.5</v>
      </c>
      <c r="D406" s="22">
        <v>14</v>
      </c>
      <c r="E406" s="22">
        <v>11758</v>
      </c>
      <c r="F406" s="10" t="s">
        <v>74</v>
      </c>
      <c r="G406" s="10" t="str">
        <f t="shared" si="3"/>
        <v>11758A</v>
      </c>
    </row>
    <row r="407" spans="1:7" x14ac:dyDescent="0.25">
      <c r="A407">
        <f>IF(AND(Sheet2!B407=Sheet1!B$19,Sheet2!C407=Sheet1!C$19,Sheet2!D407=Sheet1!D$19),1,0)</f>
        <v>0</v>
      </c>
      <c r="B407" s="10" t="s">
        <v>13</v>
      </c>
      <c r="C407" s="11">
        <v>0.5</v>
      </c>
      <c r="D407" s="22">
        <v>15</v>
      </c>
      <c r="E407" s="22">
        <v>11759</v>
      </c>
      <c r="F407" s="10" t="s">
        <v>74</v>
      </c>
      <c r="G407" s="10" t="str">
        <f t="shared" si="3"/>
        <v>11759A</v>
      </c>
    </row>
    <row r="408" spans="1:7" x14ac:dyDescent="0.25">
      <c r="A408">
        <f>IF(AND(Sheet2!B408=Sheet1!B$19,Sheet2!C408=Sheet1!C$19,Sheet2!D408=Sheet1!D$19),1,0)</f>
        <v>0</v>
      </c>
      <c r="B408" s="10" t="s">
        <v>13</v>
      </c>
      <c r="C408" s="11">
        <v>0.5</v>
      </c>
      <c r="D408" s="22">
        <v>16</v>
      </c>
      <c r="E408" s="22">
        <v>11760</v>
      </c>
      <c r="F408" s="10" t="s">
        <v>74</v>
      </c>
      <c r="G408" s="10" t="str">
        <f t="shared" si="3"/>
        <v>11760A</v>
      </c>
    </row>
    <row r="409" spans="1:7" x14ac:dyDescent="0.25">
      <c r="A409">
        <f>IF(AND(Sheet2!B409=Sheet1!B$19,Sheet2!C409=Sheet1!C$19,Sheet2!D409=Sheet1!D$19),1,0)</f>
        <v>0</v>
      </c>
      <c r="B409" s="10" t="s">
        <v>13</v>
      </c>
      <c r="C409" s="11">
        <v>0.5</v>
      </c>
      <c r="D409" s="22">
        <v>17</v>
      </c>
      <c r="E409" s="22">
        <v>11761</v>
      </c>
      <c r="F409" s="10" t="s">
        <v>74</v>
      </c>
      <c r="G409" s="10" t="str">
        <f t="shared" si="3"/>
        <v>11761A</v>
      </c>
    </row>
    <row r="410" spans="1:7" x14ac:dyDescent="0.25">
      <c r="A410">
        <f>IF(AND(Sheet2!B410=Sheet1!B$19,Sheet2!C410=Sheet1!C$19,Sheet2!D410=Sheet1!D$19),1,0)</f>
        <v>0</v>
      </c>
      <c r="B410" s="10" t="s">
        <v>13</v>
      </c>
      <c r="C410" s="11">
        <v>0.5</v>
      </c>
      <c r="D410" s="22">
        <v>18</v>
      </c>
      <c r="E410" s="22">
        <v>11762</v>
      </c>
      <c r="F410" s="10" t="s">
        <v>74</v>
      </c>
      <c r="G410" s="10" t="str">
        <f t="shared" si="3"/>
        <v>11762A</v>
      </c>
    </row>
    <row r="411" spans="1:7" x14ac:dyDescent="0.25">
      <c r="A411">
        <f>IF(AND(Sheet2!B411=Sheet1!B$19,Sheet2!C411=Sheet1!C$19,Sheet2!D411=Sheet1!D$19),1,0)</f>
        <v>0</v>
      </c>
      <c r="B411" s="10" t="s">
        <v>13</v>
      </c>
      <c r="C411" s="11">
        <v>0.5</v>
      </c>
      <c r="D411" s="22">
        <v>19</v>
      </c>
      <c r="E411" s="22">
        <v>11763</v>
      </c>
      <c r="F411" s="10" t="s">
        <v>74</v>
      </c>
      <c r="G411" s="10" t="str">
        <f t="shared" si="3"/>
        <v>11763A</v>
      </c>
    </row>
    <row r="412" spans="1:7" x14ac:dyDescent="0.25">
      <c r="A412">
        <f>IF(AND(Sheet2!B412=Sheet1!B$19,Sheet2!C412=Sheet1!C$19,Sheet2!D412=Sheet1!D$19),1,0)</f>
        <v>0</v>
      </c>
      <c r="B412" s="10" t="s">
        <v>13</v>
      </c>
      <c r="C412" s="11">
        <v>0.5</v>
      </c>
      <c r="D412" s="22">
        <v>20</v>
      </c>
      <c r="E412" s="22">
        <v>11764</v>
      </c>
      <c r="F412" s="10" t="s">
        <v>74</v>
      </c>
      <c r="G412" s="10" t="str">
        <f t="shared" si="3"/>
        <v>11764A</v>
      </c>
    </row>
    <row r="413" spans="1:7" x14ac:dyDescent="0.25">
      <c r="A413">
        <f>IF(AND(Sheet2!B413=Sheet1!B$19,Sheet2!C413=Sheet1!C$19,Sheet2!D413=Sheet1!D$19),1,0)</f>
        <v>0</v>
      </c>
      <c r="B413" s="10" t="s">
        <v>13</v>
      </c>
      <c r="C413" s="11">
        <v>0.5</v>
      </c>
      <c r="D413" s="22">
        <v>21</v>
      </c>
      <c r="E413" s="22">
        <v>11765</v>
      </c>
      <c r="F413" s="10" t="s">
        <v>74</v>
      </c>
      <c r="G413" s="10" t="str">
        <f t="shared" si="3"/>
        <v>11765A</v>
      </c>
    </row>
    <row r="414" spans="1:7" x14ac:dyDescent="0.25">
      <c r="A414">
        <f>IF(AND(Sheet2!B414=Sheet1!B$19,Sheet2!C414=Sheet1!C$19,Sheet2!D414=Sheet1!D$19),1,0)</f>
        <v>0</v>
      </c>
      <c r="B414" s="10" t="s">
        <v>13</v>
      </c>
      <c r="C414" s="11">
        <v>0.5</v>
      </c>
      <c r="D414" s="22">
        <v>22</v>
      </c>
      <c r="E414" s="22">
        <v>11766</v>
      </c>
      <c r="F414" s="10" t="s">
        <v>74</v>
      </c>
      <c r="G414" s="10" t="str">
        <f t="shared" si="3"/>
        <v>11766A</v>
      </c>
    </row>
    <row r="415" spans="1:7" x14ac:dyDescent="0.25">
      <c r="A415">
        <f>IF(AND(Sheet2!B415=Sheet1!B$19,Sheet2!C415=Sheet1!C$19,Sheet2!D415=Sheet1!D$19),1,0)</f>
        <v>0</v>
      </c>
      <c r="B415" s="10" t="s">
        <v>13</v>
      </c>
      <c r="C415" s="11">
        <v>0.5</v>
      </c>
      <c r="D415" s="22">
        <v>23</v>
      </c>
      <c r="E415" s="22">
        <v>11767</v>
      </c>
      <c r="F415" s="10" t="s">
        <v>74</v>
      </c>
      <c r="G415" s="10" t="str">
        <f t="shared" si="3"/>
        <v>11767A</v>
      </c>
    </row>
    <row r="416" spans="1:7" x14ac:dyDescent="0.25">
      <c r="A416">
        <f>IF(AND(Sheet2!B416=Sheet1!B$19,Sheet2!C416=Sheet1!C$19,Sheet2!D416=Sheet1!D$19),1,0)</f>
        <v>0</v>
      </c>
      <c r="B416" s="10" t="s">
        <v>13</v>
      </c>
      <c r="C416" s="11">
        <v>0.5</v>
      </c>
      <c r="D416" s="22">
        <v>24</v>
      </c>
      <c r="E416" s="22">
        <v>11768</v>
      </c>
      <c r="F416" s="10" t="s">
        <v>74</v>
      </c>
      <c r="G416" s="10" t="str">
        <f t="shared" si="3"/>
        <v>11768A</v>
      </c>
    </row>
    <row r="417" spans="1:7" x14ac:dyDescent="0.25">
      <c r="A417">
        <f>IF(AND(Sheet2!B417=Sheet1!B$19,Sheet2!C417=Sheet1!C$19,Sheet2!D417=Sheet1!D$19),1,0)</f>
        <v>0</v>
      </c>
      <c r="B417" s="10" t="s">
        <v>13</v>
      </c>
      <c r="C417" s="11">
        <v>0.5</v>
      </c>
      <c r="D417" s="22">
        <v>25</v>
      </c>
      <c r="E417" s="22">
        <v>11769</v>
      </c>
      <c r="F417" s="10" t="s">
        <v>74</v>
      </c>
      <c r="G417" s="10" t="str">
        <f t="shared" si="3"/>
        <v>11769A</v>
      </c>
    </row>
    <row r="418" spans="1:7" x14ac:dyDescent="0.25">
      <c r="A418">
        <f>IF(AND(Sheet2!B418=Sheet1!B$19,Sheet2!C418=Sheet1!C$19,Sheet2!D418=Sheet1!D$19),1,0)</f>
        <v>0</v>
      </c>
      <c r="B418" s="10" t="s">
        <v>13</v>
      </c>
      <c r="C418" s="11">
        <v>0.5</v>
      </c>
      <c r="D418" s="22">
        <v>26</v>
      </c>
      <c r="E418" s="22">
        <v>11770</v>
      </c>
      <c r="F418" s="10" t="s">
        <v>74</v>
      </c>
      <c r="G418" s="10" t="str">
        <f t="shared" si="3"/>
        <v>11770A</v>
      </c>
    </row>
    <row r="419" spans="1:7" x14ac:dyDescent="0.25">
      <c r="A419">
        <f>IF(AND(Sheet2!B419=Sheet1!B$19,Sheet2!C419=Sheet1!C$19,Sheet2!D419=Sheet1!D$19),1,0)</f>
        <v>0</v>
      </c>
      <c r="B419" s="10" t="s">
        <v>13</v>
      </c>
      <c r="C419" s="11">
        <v>0.5</v>
      </c>
      <c r="D419" s="22">
        <v>27</v>
      </c>
      <c r="E419" s="22">
        <v>11771</v>
      </c>
      <c r="F419" s="10" t="s">
        <v>74</v>
      </c>
      <c r="G419" s="10" t="str">
        <f t="shared" si="3"/>
        <v>11771A</v>
      </c>
    </row>
    <row r="420" spans="1:7" x14ac:dyDescent="0.25">
      <c r="A420">
        <f>IF(AND(Sheet2!B420=Sheet1!B$19,Sheet2!C420=Sheet1!C$19,Sheet2!D420=Sheet1!D$19),1,0)</f>
        <v>0</v>
      </c>
      <c r="B420" s="10" t="s">
        <v>13</v>
      </c>
      <c r="C420" s="11">
        <v>0.5</v>
      </c>
      <c r="D420" s="22">
        <v>28</v>
      </c>
      <c r="E420" s="22">
        <v>11772</v>
      </c>
      <c r="F420" s="10" t="s">
        <v>74</v>
      </c>
      <c r="G420" s="10" t="str">
        <f t="shared" si="3"/>
        <v>11772A</v>
      </c>
    </row>
    <row r="421" spans="1:7" x14ac:dyDescent="0.25">
      <c r="A421">
        <f>IF(AND(Sheet2!B421=Sheet1!B$19,Sheet2!C421=Sheet1!C$19,Sheet2!D421=Sheet1!D$19),1,0)</f>
        <v>0</v>
      </c>
      <c r="B421" s="10" t="s">
        <v>13</v>
      </c>
      <c r="C421" s="11">
        <v>0.5</v>
      </c>
      <c r="D421" s="22">
        <v>29</v>
      </c>
      <c r="E421" s="22">
        <v>11773</v>
      </c>
      <c r="F421" s="10" t="s">
        <v>74</v>
      </c>
      <c r="G421" s="10" t="str">
        <f t="shared" si="3"/>
        <v>11773A</v>
      </c>
    </row>
    <row r="422" spans="1:7" x14ac:dyDescent="0.25">
      <c r="A422">
        <f>IF(AND(Sheet2!B422=Sheet1!B$19,Sheet2!C422=Sheet1!C$19,Sheet2!D422=Sheet1!D$19),1,0)</f>
        <v>0</v>
      </c>
      <c r="B422" s="10" t="s">
        <v>13</v>
      </c>
      <c r="C422" s="11">
        <v>0.5</v>
      </c>
      <c r="D422" s="22">
        <v>30</v>
      </c>
      <c r="E422" s="22">
        <v>11774</v>
      </c>
      <c r="F422" s="10" t="s">
        <v>74</v>
      </c>
      <c r="G422" s="10" t="str">
        <f t="shared" si="3"/>
        <v>11774A</v>
      </c>
    </row>
    <row r="423" spans="1:7" x14ac:dyDescent="0.25">
      <c r="A423">
        <f>IF(AND(Sheet2!B423=Sheet1!B$19,Sheet2!C423=Sheet1!C$19,Sheet2!D423=Sheet1!D$19),1,0)</f>
        <v>0</v>
      </c>
      <c r="B423" s="10" t="s">
        <v>13</v>
      </c>
      <c r="C423" s="11">
        <v>0.5</v>
      </c>
      <c r="D423" s="22">
        <v>31</v>
      </c>
      <c r="E423" s="22">
        <v>11775</v>
      </c>
      <c r="F423" s="10" t="s">
        <v>74</v>
      </c>
      <c r="G423" s="10" t="str">
        <f t="shared" si="3"/>
        <v>11775A</v>
      </c>
    </row>
    <row r="424" spans="1:7" x14ac:dyDescent="0.25">
      <c r="A424">
        <f>IF(AND(Sheet2!B424=Sheet1!B$19,Sheet2!C424=Sheet1!C$19,Sheet2!D424=Sheet1!D$19),1,0)</f>
        <v>0</v>
      </c>
      <c r="B424" s="10" t="s">
        <v>13</v>
      </c>
      <c r="C424" s="11">
        <v>0.5</v>
      </c>
      <c r="D424" s="22">
        <v>32</v>
      </c>
      <c r="E424" s="22">
        <v>11776</v>
      </c>
      <c r="F424" s="10" t="s">
        <v>74</v>
      </c>
      <c r="G424" s="10" t="str">
        <f t="shared" si="3"/>
        <v>11776A</v>
      </c>
    </row>
    <row r="425" spans="1:7" x14ac:dyDescent="0.25">
      <c r="A425">
        <f>IF(AND(Sheet2!B425=Sheet1!B$19,Sheet2!C425=Sheet1!C$19,Sheet2!D425=Sheet1!D$19),1,0)</f>
        <v>0</v>
      </c>
      <c r="B425" s="10" t="s">
        <v>13</v>
      </c>
      <c r="C425" s="11">
        <v>0.5</v>
      </c>
      <c r="D425" s="22">
        <v>33</v>
      </c>
      <c r="E425" s="22">
        <v>11777</v>
      </c>
      <c r="F425" s="10" t="s">
        <v>74</v>
      </c>
      <c r="G425" s="10" t="str">
        <f t="shared" si="3"/>
        <v>11777A</v>
      </c>
    </row>
    <row r="426" spans="1:7" x14ac:dyDescent="0.25">
      <c r="A426">
        <f>IF(AND(Sheet2!B426=Sheet1!B$19,Sheet2!C426=Sheet1!C$19,Sheet2!D426=Sheet1!D$19),1,0)</f>
        <v>0</v>
      </c>
      <c r="B426" s="10" t="s">
        <v>13</v>
      </c>
      <c r="C426" s="11">
        <v>0.5</v>
      </c>
      <c r="D426" s="22">
        <v>34</v>
      </c>
      <c r="E426" s="22">
        <v>11778</v>
      </c>
      <c r="F426" s="10" t="s">
        <v>74</v>
      </c>
      <c r="G426" s="10" t="str">
        <f t="shared" si="3"/>
        <v>11778A</v>
      </c>
    </row>
    <row r="427" spans="1:7" x14ac:dyDescent="0.25">
      <c r="A427">
        <f>IF(AND(Sheet2!B427=Sheet1!B$19,Sheet2!C427=Sheet1!C$19,Sheet2!D427=Sheet1!D$19),1,0)</f>
        <v>0</v>
      </c>
      <c r="B427" s="10" t="s">
        <v>13</v>
      </c>
      <c r="C427" s="11">
        <v>0.5</v>
      </c>
      <c r="D427" s="22">
        <v>35</v>
      </c>
      <c r="E427" s="22">
        <v>11779</v>
      </c>
      <c r="F427" s="10" t="s">
        <v>74</v>
      </c>
      <c r="G427" s="10" t="str">
        <f t="shared" si="3"/>
        <v>11779A</v>
      </c>
    </row>
    <row r="428" spans="1:7" x14ac:dyDescent="0.25">
      <c r="A428">
        <f>IF(AND(Sheet2!B428=Sheet1!B$19,Sheet2!C428=Sheet1!C$19,Sheet2!D428=Sheet1!D$19),1,0)</f>
        <v>0</v>
      </c>
      <c r="B428" s="10" t="s">
        <v>13</v>
      </c>
      <c r="C428" s="11">
        <v>0.5</v>
      </c>
      <c r="D428" s="22">
        <v>36</v>
      </c>
      <c r="E428" s="22">
        <v>11780</v>
      </c>
      <c r="F428" s="10" t="s">
        <v>74</v>
      </c>
      <c r="G428" s="10" t="str">
        <f t="shared" si="3"/>
        <v>11780A</v>
      </c>
    </row>
    <row r="429" spans="1:7" x14ac:dyDescent="0.25">
      <c r="A429">
        <f>IF(AND(Sheet2!B429=Sheet1!B$19,Sheet2!C429=Sheet1!C$19,Sheet2!D429=Sheet1!D$19),1,0)</f>
        <v>0</v>
      </c>
      <c r="B429" s="10" t="s">
        <v>13</v>
      </c>
      <c r="C429" s="11">
        <v>0.5</v>
      </c>
      <c r="D429" s="22">
        <v>37</v>
      </c>
      <c r="E429" s="22">
        <v>11781</v>
      </c>
      <c r="F429" s="10" t="s">
        <v>74</v>
      </c>
      <c r="G429" s="10" t="str">
        <f t="shared" si="3"/>
        <v>11781A</v>
      </c>
    </row>
    <row r="430" spans="1:7" x14ac:dyDescent="0.25">
      <c r="A430">
        <f>IF(AND(Sheet2!B430=Sheet1!B$19,Sheet2!C430=Sheet1!C$19,Sheet2!D430=Sheet1!D$19),1,0)</f>
        <v>0</v>
      </c>
      <c r="B430" s="10" t="s">
        <v>13</v>
      </c>
      <c r="C430" s="11">
        <v>0.5</v>
      </c>
      <c r="D430" s="22">
        <v>38</v>
      </c>
      <c r="E430" s="22">
        <v>11782</v>
      </c>
      <c r="F430" s="10" t="s">
        <v>74</v>
      </c>
      <c r="G430" s="10" t="str">
        <f t="shared" si="3"/>
        <v>11782A</v>
      </c>
    </row>
    <row r="431" spans="1:7" x14ac:dyDescent="0.25">
      <c r="A431">
        <f>IF(AND(Sheet2!B431=Sheet1!B$19,Sheet2!C431=Sheet1!C$19,Sheet2!D431=Sheet1!D$19),1,0)</f>
        <v>0</v>
      </c>
      <c r="B431" s="10" t="s">
        <v>13</v>
      </c>
      <c r="C431" s="11">
        <v>0.5</v>
      </c>
      <c r="D431" s="22">
        <v>39</v>
      </c>
      <c r="E431" s="22">
        <v>11783</v>
      </c>
      <c r="F431" s="10" t="s">
        <v>74</v>
      </c>
      <c r="G431" s="10" t="str">
        <f t="shared" si="3"/>
        <v>11783A</v>
      </c>
    </row>
    <row r="432" spans="1:7" x14ac:dyDescent="0.25">
      <c r="A432">
        <f>IF(AND(Sheet2!B432=Sheet1!B$19,Sheet2!C432=Sheet1!C$19,Sheet2!D432=Sheet1!D$19),1,0)</f>
        <v>0</v>
      </c>
      <c r="B432" s="10" t="s">
        <v>13</v>
      </c>
      <c r="C432" s="11">
        <v>0.5</v>
      </c>
      <c r="D432" s="22">
        <v>40</v>
      </c>
      <c r="E432" s="22">
        <v>11784</v>
      </c>
      <c r="F432" s="10" t="s">
        <v>74</v>
      </c>
      <c r="G432" s="10" t="str">
        <f t="shared" si="3"/>
        <v>11784A</v>
      </c>
    </row>
    <row r="433" spans="1:7" x14ac:dyDescent="0.25">
      <c r="A433">
        <f>IF(AND(Sheet2!B433=Sheet1!B$19,Sheet2!C433=Sheet1!C$19,Sheet2!D433=Sheet1!D$19),1,0)</f>
        <v>0</v>
      </c>
      <c r="B433" s="10" t="s">
        <v>13</v>
      </c>
      <c r="C433" s="11">
        <v>0.5</v>
      </c>
      <c r="D433" s="22">
        <v>41</v>
      </c>
      <c r="E433" s="22">
        <v>11785</v>
      </c>
      <c r="F433" s="10" t="s">
        <v>74</v>
      </c>
      <c r="G433" s="10" t="str">
        <f t="shared" si="3"/>
        <v>11785A</v>
      </c>
    </row>
    <row r="434" spans="1:7" x14ac:dyDescent="0.25">
      <c r="A434">
        <f>IF(AND(Sheet2!B434=Sheet1!B$19,Sheet2!C434=Sheet1!C$19,Sheet2!D434=Sheet1!D$19),1,0)</f>
        <v>0</v>
      </c>
      <c r="B434" s="10" t="s">
        <v>13</v>
      </c>
      <c r="C434" s="11">
        <v>0.5</v>
      </c>
      <c r="D434" s="22">
        <v>42</v>
      </c>
      <c r="E434" s="22">
        <v>11786</v>
      </c>
      <c r="F434" s="10" t="s">
        <v>74</v>
      </c>
      <c r="G434" s="10" t="str">
        <f t="shared" si="3"/>
        <v>11786A</v>
      </c>
    </row>
    <row r="435" spans="1:7" x14ac:dyDescent="0.25">
      <c r="A435">
        <f>IF(AND(Sheet2!B435=Sheet1!B$19,Sheet2!C435=Sheet1!C$19,Sheet2!D435=Sheet1!D$19),1,0)</f>
        <v>0</v>
      </c>
      <c r="B435" s="10" t="s">
        <v>13</v>
      </c>
      <c r="C435" s="11">
        <v>0.5</v>
      </c>
      <c r="D435" s="22">
        <v>43</v>
      </c>
      <c r="E435" s="22">
        <v>11787</v>
      </c>
      <c r="F435" s="10" t="s">
        <v>74</v>
      </c>
      <c r="G435" s="10" t="str">
        <f t="shared" si="3"/>
        <v>11787A</v>
      </c>
    </row>
    <row r="436" spans="1:7" x14ac:dyDescent="0.25">
      <c r="A436">
        <f>IF(AND(Sheet2!B436=Sheet1!B$19,Sheet2!C436=Sheet1!C$19,Sheet2!D436=Sheet1!D$19),1,0)</f>
        <v>0</v>
      </c>
      <c r="B436" s="10" t="s">
        <v>13</v>
      </c>
      <c r="C436" s="11">
        <v>0.5</v>
      </c>
      <c r="D436" s="22">
        <v>44</v>
      </c>
      <c r="E436" s="22">
        <v>11788</v>
      </c>
      <c r="F436" s="10" t="s">
        <v>74</v>
      </c>
      <c r="G436" s="10" t="str">
        <f t="shared" si="3"/>
        <v>11788A</v>
      </c>
    </row>
    <row r="437" spans="1:7" x14ac:dyDescent="0.25">
      <c r="A437">
        <f>IF(AND(Sheet2!B437=Sheet1!B$19,Sheet2!C437=Sheet1!C$19,Sheet2!D437=Sheet1!D$19),1,0)</f>
        <v>0</v>
      </c>
      <c r="B437" s="10" t="s">
        <v>13</v>
      </c>
      <c r="C437" s="11">
        <v>0.5</v>
      </c>
      <c r="D437" s="22">
        <v>45</v>
      </c>
      <c r="E437" s="22">
        <v>11789</v>
      </c>
      <c r="F437" s="10" t="s">
        <v>74</v>
      </c>
      <c r="G437" s="10" t="str">
        <f t="shared" si="3"/>
        <v>11789A</v>
      </c>
    </row>
    <row r="438" spans="1:7" x14ac:dyDescent="0.25">
      <c r="A438">
        <f>IF(AND(Sheet2!B438=Sheet1!B$19,Sheet2!C438=Sheet1!C$19,Sheet2!D438=Sheet1!D$19),1,0)</f>
        <v>0</v>
      </c>
      <c r="B438" s="10" t="s">
        <v>13</v>
      </c>
      <c r="C438" s="11">
        <v>0.5</v>
      </c>
      <c r="D438" s="22">
        <v>46</v>
      </c>
      <c r="E438" s="22">
        <v>11790</v>
      </c>
      <c r="F438" s="10" t="s">
        <v>74</v>
      </c>
      <c r="G438" s="10" t="str">
        <f t="shared" si="3"/>
        <v>11790A</v>
      </c>
    </row>
    <row r="439" spans="1:7" x14ac:dyDescent="0.25">
      <c r="A439">
        <f>IF(AND(Sheet2!B439=Sheet1!B$19,Sheet2!C439=Sheet1!C$19,Sheet2!D439=Sheet1!D$19),1,0)</f>
        <v>0</v>
      </c>
      <c r="B439" s="10" t="s">
        <v>13</v>
      </c>
      <c r="C439" s="11">
        <v>0.5</v>
      </c>
      <c r="D439" s="22">
        <v>47</v>
      </c>
      <c r="E439" s="22">
        <v>11791</v>
      </c>
      <c r="F439" s="10" t="s">
        <v>74</v>
      </c>
      <c r="G439" s="10" t="str">
        <f t="shared" si="3"/>
        <v>11791A</v>
      </c>
    </row>
    <row r="440" spans="1:7" x14ac:dyDescent="0.25">
      <c r="A440">
        <f>IF(AND(Sheet2!B440=Sheet1!B$19,Sheet2!C440=Sheet1!C$19,Sheet2!D440=Sheet1!D$19),1,0)</f>
        <v>0</v>
      </c>
      <c r="B440" s="10" t="s">
        <v>13</v>
      </c>
      <c r="C440" s="11">
        <v>0.5</v>
      </c>
      <c r="D440" s="22">
        <v>48</v>
      </c>
      <c r="E440" s="22">
        <v>11792</v>
      </c>
      <c r="F440" s="10" t="s">
        <v>74</v>
      </c>
      <c r="G440" s="10" t="str">
        <f t="shared" si="3"/>
        <v>11792A</v>
      </c>
    </row>
    <row r="441" spans="1:7" x14ac:dyDescent="0.25">
      <c r="A441">
        <f>IF(AND(Sheet2!B441=Sheet1!B$19,Sheet2!C441=Sheet1!C$19,Sheet2!D441=Sheet1!D$19),1,0)</f>
        <v>0</v>
      </c>
      <c r="B441" s="10" t="s">
        <v>13</v>
      </c>
      <c r="C441" s="11">
        <v>0.5</v>
      </c>
      <c r="D441" s="22">
        <v>49</v>
      </c>
      <c r="E441" s="22">
        <v>11793</v>
      </c>
      <c r="F441" s="10" t="s">
        <v>74</v>
      </c>
      <c r="G441" s="10" t="str">
        <f t="shared" si="3"/>
        <v>11793A</v>
      </c>
    </row>
    <row r="442" spans="1:7" x14ac:dyDescent="0.25">
      <c r="A442">
        <f>IF(AND(Sheet2!B442=Sheet1!B$19,Sheet2!C442=Sheet1!C$19,Sheet2!D442=Sheet1!D$19),1,0)</f>
        <v>0</v>
      </c>
      <c r="B442" s="10" t="s">
        <v>13</v>
      </c>
      <c r="C442" s="11">
        <v>0.5</v>
      </c>
      <c r="D442" s="22">
        <v>50</v>
      </c>
      <c r="E442" s="22">
        <v>11794</v>
      </c>
      <c r="F442" s="10" t="s">
        <v>74</v>
      </c>
      <c r="G442" s="10" t="str">
        <f t="shared" si="3"/>
        <v>11794A</v>
      </c>
    </row>
    <row r="443" spans="1:7" x14ac:dyDescent="0.25">
      <c r="A443">
        <f>IF(AND(Sheet2!B443=Sheet1!B$19,Sheet2!C443=Sheet1!C$19,Sheet2!D443=Sheet1!D$19),1,0)</f>
        <v>0</v>
      </c>
      <c r="B443" s="10" t="s">
        <v>13</v>
      </c>
      <c r="C443" s="11">
        <v>0.5</v>
      </c>
      <c r="D443" s="22">
        <v>51</v>
      </c>
      <c r="E443" s="22">
        <v>11795</v>
      </c>
      <c r="F443" s="10" t="s">
        <v>74</v>
      </c>
      <c r="G443" s="10" t="str">
        <f t="shared" si="3"/>
        <v>11795A</v>
      </c>
    </row>
    <row r="444" spans="1:7" x14ac:dyDescent="0.25">
      <c r="A444">
        <f>IF(AND(Sheet2!B444=Sheet1!B$19,Sheet2!C444=Sheet1!C$19,Sheet2!D444=Sheet1!D$19),1,0)</f>
        <v>0</v>
      </c>
      <c r="B444" s="10" t="s">
        <v>13</v>
      </c>
      <c r="C444" s="11">
        <v>0.5</v>
      </c>
      <c r="D444" s="22">
        <v>52</v>
      </c>
      <c r="E444" s="22">
        <v>11796</v>
      </c>
      <c r="F444" s="10" t="s">
        <v>74</v>
      </c>
      <c r="G444" s="10" t="str">
        <f t="shared" si="3"/>
        <v>11796A</v>
      </c>
    </row>
    <row r="445" spans="1:7" x14ac:dyDescent="0.25">
      <c r="A445">
        <f>IF(AND(Sheet2!B445=Sheet1!B$19,Sheet2!C445=Sheet1!C$19,Sheet2!D445=Sheet1!D$19),1,0)</f>
        <v>0</v>
      </c>
      <c r="B445" s="10" t="s">
        <v>13</v>
      </c>
      <c r="C445" s="11">
        <v>0.5</v>
      </c>
      <c r="D445" s="22">
        <v>53</v>
      </c>
      <c r="E445" s="22">
        <v>11797</v>
      </c>
      <c r="F445" s="10" t="s">
        <v>74</v>
      </c>
      <c r="G445" s="10" t="str">
        <f t="shared" si="3"/>
        <v>11797A</v>
      </c>
    </row>
    <row r="446" spans="1:7" x14ac:dyDescent="0.25">
      <c r="A446">
        <f>IF(AND(Sheet2!B446=Sheet1!B$19,Sheet2!C446=Sheet1!C$19,Sheet2!D446=Sheet1!D$19),1,0)</f>
        <v>0</v>
      </c>
      <c r="B446" s="10" t="s">
        <v>13</v>
      </c>
      <c r="C446" s="11">
        <v>0.5</v>
      </c>
      <c r="D446" s="22">
        <v>54</v>
      </c>
      <c r="E446" s="22">
        <v>11798</v>
      </c>
      <c r="F446" s="10" t="s">
        <v>74</v>
      </c>
      <c r="G446" s="10" t="str">
        <f t="shared" si="3"/>
        <v>11798A</v>
      </c>
    </row>
    <row r="447" spans="1:7" x14ac:dyDescent="0.25">
      <c r="A447">
        <f>IF(AND(Sheet2!B447=Sheet1!B$19,Sheet2!C447=Sheet1!C$19,Sheet2!D447=Sheet1!D$19),1,0)</f>
        <v>0</v>
      </c>
      <c r="B447" s="10" t="s">
        <v>13</v>
      </c>
      <c r="C447" s="11">
        <v>0.5</v>
      </c>
      <c r="D447" s="22">
        <v>55</v>
      </c>
      <c r="E447" s="22">
        <v>11799</v>
      </c>
      <c r="F447" s="10" t="s">
        <v>74</v>
      </c>
      <c r="G447" s="10" t="str">
        <f t="shared" si="3"/>
        <v>11799A</v>
      </c>
    </row>
    <row r="448" spans="1:7" x14ac:dyDescent="0.25">
      <c r="A448">
        <f>IF(AND(Sheet2!B448=Sheet1!B$19,Sheet2!C448=Sheet1!C$19,Sheet2!D448=Sheet1!D$19),1,0)</f>
        <v>0</v>
      </c>
      <c r="B448" s="10" t="s">
        <v>13</v>
      </c>
      <c r="C448" s="11">
        <v>0.5</v>
      </c>
      <c r="D448" s="22">
        <v>56</v>
      </c>
      <c r="E448" s="22">
        <v>11800</v>
      </c>
      <c r="F448" s="10" t="s">
        <v>74</v>
      </c>
      <c r="G448" s="10" t="str">
        <f t="shared" si="3"/>
        <v>11800A</v>
      </c>
    </row>
    <row r="449" spans="1:7" x14ac:dyDescent="0.25">
      <c r="A449">
        <f>IF(AND(Sheet2!B449=Sheet1!B$19,Sheet2!C449=Sheet1!C$19,Sheet2!D449=Sheet1!D$19),1,0)</f>
        <v>0</v>
      </c>
      <c r="B449" s="10" t="s">
        <v>13</v>
      </c>
      <c r="C449" s="11">
        <v>0.5</v>
      </c>
      <c r="D449" s="22">
        <v>57</v>
      </c>
      <c r="E449" s="22">
        <v>11801</v>
      </c>
      <c r="F449" s="10" t="s">
        <v>74</v>
      </c>
      <c r="G449" s="10" t="str">
        <f t="shared" si="3"/>
        <v>11801A</v>
      </c>
    </row>
    <row r="450" spans="1:7" x14ac:dyDescent="0.25">
      <c r="A450">
        <f>IF(AND(Sheet2!B450=Sheet1!B$19,Sheet2!C450=Sheet1!C$19,Sheet2!D450=Sheet1!D$19),1,0)</f>
        <v>0</v>
      </c>
      <c r="B450" s="10" t="s">
        <v>13</v>
      </c>
      <c r="C450" s="11">
        <v>0.5</v>
      </c>
      <c r="D450" s="22">
        <v>58</v>
      </c>
      <c r="E450" s="22">
        <v>11802</v>
      </c>
      <c r="F450" s="10" t="s">
        <v>74</v>
      </c>
      <c r="G450" s="10" t="str">
        <f t="shared" si="3"/>
        <v>11802A</v>
      </c>
    </row>
    <row r="451" spans="1:7" x14ac:dyDescent="0.25">
      <c r="A451">
        <f>IF(AND(Sheet2!B451=Sheet1!B$19,Sheet2!C451=Sheet1!C$19,Sheet2!D451=Sheet1!D$19),1,0)</f>
        <v>0</v>
      </c>
      <c r="B451" s="10" t="s">
        <v>13</v>
      </c>
      <c r="C451" s="11">
        <v>0.5</v>
      </c>
      <c r="D451" s="22">
        <v>59</v>
      </c>
      <c r="E451" s="22">
        <v>11803</v>
      </c>
      <c r="F451" s="10" t="s">
        <v>74</v>
      </c>
      <c r="G451" s="10" t="str">
        <f t="shared" si="3"/>
        <v>11803A</v>
      </c>
    </row>
    <row r="452" spans="1:7" x14ac:dyDescent="0.25">
      <c r="A452">
        <f>IF(AND(Sheet2!B452=Sheet1!B$19,Sheet2!C452=Sheet1!C$19,Sheet2!D452=Sheet1!D$19),1,0)</f>
        <v>0</v>
      </c>
      <c r="B452" s="10" t="s">
        <v>13</v>
      </c>
      <c r="C452" s="11">
        <v>0.5</v>
      </c>
      <c r="D452" s="22">
        <v>60</v>
      </c>
      <c r="E452" s="22">
        <v>11804</v>
      </c>
      <c r="F452" s="10" t="s">
        <v>74</v>
      </c>
      <c r="G452" s="10" t="str">
        <f t="shared" si="3"/>
        <v>11804A</v>
      </c>
    </row>
    <row r="453" spans="1:7" x14ac:dyDescent="0.25">
      <c r="A453">
        <f>IF(AND(Sheet2!B453=Sheet1!B$19,Sheet2!C453=Sheet1!C$19,Sheet2!D453=Sheet1!D$19),1,0)</f>
        <v>0</v>
      </c>
      <c r="B453" s="10" t="s">
        <v>13</v>
      </c>
      <c r="C453" s="11">
        <v>0.75</v>
      </c>
      <c r="D453" s="22">
        <v>2</v>
      </c>
      <c r="E453" s="22">
        <v>11805</v>
      </c>
      <c r="F453" s="10" t="s">
        <v>74</v>
      </c>
      <c r="G453" s="10" t="str">
        <f t="shared" si="3"/>
        <v>11805A</v>
      </c>
    </row>
    <row r="454" spans="1:7" x14ac:dyDescent="0.25">
      <c r="A454">
        <f>IF(AND(Sheet2!B454=Sheet1!B$19,Sheet2!C454=Sheet1!C$19,Sheet2!D454=Sheet1!D$19),1,0)</f>
        <v>0</v>
      </c>
      <c r="B454" s="10" t="s">
        <v>13</v>
      </c>
      <c r="C454" s="11">
        <v>0.75</v>
      </c>
      <c r="D454" s="22">
        <v>3</v>
      </c>
      <c r="E454" s="22">
        <v>11806</v>
      </c>
      <c r="F454" s="10" t="s">
        <v>74</v>
      </c>
      <c r="G454" s="10" t="str">
        <f t="shared" si="3"/>
        <v>11806A</v>
      </c>
    </row>
    <row r="455" spans="1:7" x14ac:dyDescent="0.25">
      <c r="A455">
        <f>IF(AND(Sheet2!B455=Sheet1!B$19,Sheet2!C455=Sheet1!C$19,Sheet2!D455=Sheet1!D$19),1,0)</f>
        <v>0</v>
      </c>
      <c r="B455" s="10" t="s">
        <v>13</v>
      </c>
      <c r="C455" s="11">
        <v>0.75</v>
      </c>
      <c r="D455" s="22">
        <v>4</v>
      </c>
      <c r="E455" s="22">
        <v>11807</v>
      </c>
      <c r="F455" s="10" t="s">
        <v>74</v>
      </c>
      <c r="G455" s="10" t="str">
        <f t="shared" si="3"/>
        <v>11807A</v>
      </c>
    </row>
    <row r="456" spans="1:7" x14ac:dyDescent="0.25">
      <c r="A456">
        <f>IF(AND(Sheet2!B456=Sheet1!B$19,Sheet2!C456=Sheet1!C$19,Sheet2!D456=Sheet1!D$19),1,0)</f>
        <v>0</v>
      </c>
      <c r="B456" s="10" t="s">
        <v>13</v>
      </c>
      <c r="C456" s="11">
        <v>0.75</v>
      </c>
      <c r="D456" s="22">
        <v>5</v>
      </c>
      <c r="E456" s="22">
        <v>11808</v>
      </c>
      <c r="F456" s="10" t="s">
        <v>74</v>
      </c>
      <c r="G456" s="10" t="str">
        <f t="shared" si="3"/>
        <v>11808A</v>
      </c>
    </row>
    <row r="457" spans="1:7" x14ac:dyDescent="0.25">
      <c r="A457">
        <f>IF(AND(Sheet2!B457=Sheet1!B$19,Sheet2!C457=Sheet1!C$19,Sheet2!D457=Sheet1!D$19),1,0)</f>
        <v>0</v>
      </c>
      <c r="B457" s="10" t="s">
        <v>13</v>
      </c>
      <c r="C457" s="11">
        <v>0.75</v>
      </c>
      <c r="D457" s="22">
        <v>6</v>
      </c>
      <c r="E457" s="22">
        <v>11809</v>
      </c>
      <c r="F457" s="10" t="s">
        <v>74</v>
      </c>
      <c r="G457" s="10" t="str">
        <f t="shared" si="3"/>
        <v>11809A</v>
      </c>
    </row>
    <row r="458" spans="1:7" x14ac:dyDescent="0.25">
      <c r="A458">
        <f>IF(AND(Sheet2!B458=Sheet1!B$19,Sheet2!C458=Sheet1!C$19,Sheet2!D458=Sheet1!D$19),1,0)</f>
        <v>0</v>
      </c>
      <c r="B458" s="10" t="s">
        <v>13</v>
      </c>
      <c r="C458" s="11">
        <v>0.75</v>
      </c>
      <c r="D458" s="22">
        <v>7</v>
      </c>
      <c r="E458" s="22">
        <v>11810</v>
      </c>
      <c r="F458" s="10" t="s">
        <v>74</v>
      </c>
      <c r="G458" s="10" t="str">
        <f t="shared" si="3"/>
        <v>11810A</v>
      </c>
    </row>
    <row r="459" spans="1:7" x14ac:dyDescent="0.25">
      <c r="A459">
        <f>IF(AND(Sheet2!B459=Sheet1!B$19,Sheet2!C459=Sheet1!C$19,Sheet2!D459=Sheet1!D$19),1,0)</f>
        <v>0</v>
      </c>
      <c r="B459" s="10" t="s">
        <v>13</v>
      </c>
      <c r="C459" s="11">
        <v>0.75</v>
      </c>
      <c r="D459" s="22">
        <v>8</v>
      </c>
      <c r="E459" s="22">
        <v>11811</v>
      </c>
      <c r="F459" s="10" t="s">
        <v>74</v>
      </c>
      <c r="G459" s="10" t="str">
        <f t="shared" si="3"/>
        <v>11811A</v>
      </c>
    </row>
    <row r="460" spans="1:7" x14ac:dyDescent="0.25">
      <c r="A460">
        <f>IF(AND(Sheet2!B460=Sheet1!B$19,Sheet2!C460=Sheet1!C$19,Sheet2!D460=Sheet1!D$19),1,0)</f>
        <v>0</v>
      </c>
      <c r="B460" s="10" t="s">
        <v>13</v>
      </c>
      <c r="C460" s="11">
        <v>0.75</v>
      </c>
      <c r="D460" s="22">
        <v>9</v>
      </c>
      <c r="E460" s="22">
        <v>11812</v>
      </c>
      <c r="F460" s="10" t="s">
        <v>74</v>
      </c>
      <c r="G460" s="10" t="str">
        <f t="shared" si="3"/>
        <v>11812A</v>
      </c>
    </row>
    <row r="461" spans="1:7" x14ac:dyDescent="0.25">
      <c r="A461">
        <f>IF(AND(Sheet2!B461=Sheet1!B$19,Sheet2!C461=Sheet1!C$19,Sheet2!D461=Sheet1!D$19),1,0)</f>
        <v>0</v>
      </c>
      <c r="B461" s="10" t="s">
        <v>13</v>
      </c>
      <c r="C461" s="11">
        <v>0.75</v>
      </c>
      <c r="D461" s="22">
        <v>10</v>
      </c>
      <c r="E461" s="22">
        <v>11813</v>
      </c>
      <c r="F461" s="10" t="s">
        <v>74</v>
      </c>
      <c r="G461" s="10" t="str">
        <f t="shared" si="3"/>
        <v>11813A</v>
      </c>
    </row>
    <row r="462" spans="1:7" x14ac:dyDescent="0.25">
      <c r="A462">
        <f>IF(AND(Sheet2!B462=Sheet1!B$19,Sheet2!C462=Sheet1!C$19,Sheet2!D462=Sheet1!D$19),1,0)</f>
        <v>0</v>
      </c>
      <c r="B462" s="10" t="s">
        <v>13</v>
      </c>
      <c r="C462" s="11">
        <v>0.75</v>
      </c>
      <c r="D462" s="22">
        <v>11</v>
      </c>
      <c r="E462" s="22">
        <v>11814</v>
      </c>
      <c r="F462" s="10" t="s">
        <v>74</v>
      </c>
      <c r="G462" s="10" t="str">
        <f t="shared" si="3"/>
        <v>11814A</v>
      </c>
    </row>
    <row r="463" spans="1:7" x14ac:dyDescent="0.25">
      <c r="A463">
        <f>IF(AND(Sheet2!B463=Sheet1!B$19,Sheet2!C463=Sheet1!C$19,Sheet2!D463=Sheet1!D$19),1,0)</f>
        <v>0</v>
      </c>
      <c r="B463" s="10" t="s">
        <v>13</v>
      </c>
      <c r="C463" s="11">
        <v>0.75</v>
      </c>
      <c r="D463" s="22">
        <v>12</v>
      </c>
      <c r="E463" s="22">
        <v>11815</v>
      </c>
      <c r="F463" s="10" t="s">
        <v>74</v>
      </c>
      <c r="G463" s="10" t="str">
        <f t="shared" si="3"/>
        <v>11815A</v>
      </c>
    </row>
    <row r="464" spans="1:7" x14ac:dyDescent="0.25">
      <c r="A464">
        <f>IF(AND(Sheet2!B464=Sheet1!B$19,Sheet2!C464=Sheet1!C$19,Sheet2!D464=Sheet1!D$19),1,0)</f>
        <v>0</v>
      </c>
      <c r="B464" s="10" t="s">
        <v>13</v>
      </c>
      <c r="C464" s="11">
        <v>0.75</v>
      </c>
      <c r="D464" s="22">
        <v>13</v>
      </c>
      <c r="E464" s="22">
        <v>11816</v>
      </c>
      <c r="F464" s="10" t="s">
        <v>74</v>
      </c>
      <c r="G464" s="10" t="str">
        <f t="shared" si="3"/>
        <v>11816A</v>
      </c>
    </row>
    <row r="465" spans="1:7" x14ac:dyDescent="0.25">
      <c r="A465">
        <f>IF(AND(Sheet2!B465=Sheet1!B$19,Sheet2!C465=Sheet1!C$19,Sheet2!D465=Sheet1!D$19),1,0)</f>
        <v>0</v>
      </c>
      <c r="B465" s="10" t="s">
        <v>13</v>
      </c>
      <c r="C465" s="11">
        <v>0.75</v>
      </c>
      <c r="D465" s="22">
        <v>14</v>
      </c>
      <c r="E465" s="22">
        <v>11817</v>
      </c>
      <c r="F465" s="10" t="s">
        <v>74</v>
      </c>
      <c r="G465" s="10" t="str">
        <f t="shared" si="3"/>
        <v>11817A</v>
      </c>
    </row>
    <row r="466" spans="1:7" x14ac:dyDescent="0.25">
      <c r="A466">
        <f>IF(AND(Sheet2!B466=Sheet1!B$19,Sheet2!C466=Sheet1!C$19,Sheet2!D466=Sheet1!D$19),1,0)</f>
        <v>0</v>
      </c>
      <c r="B466" s="10" t="s">
        <v>13</v>
      </c>
      <c r="C466" s="11">
        <v>0.75</v>
      </c>
      <c r="D466" s="22">
        <v>15</v>
      </c>
      <c r="E466" s="22">
        <v>11818</v>
      </c>
      <c r="F466" s="10" t="s">
        <v>74</v>
      </c>
      <c r="G466" s="10" t="str">
        <f t="shared" si="3"/>
        <v>11818A</v>
      </c>
    </row>
    <row r="467" spans="1:7" x14ac:dyDescent="0.25">
      <c r="A467">
        <f>IF(AND(Sheet2!B467=Sheet1!B$19,Sheet2!C467=Sheet1!C$19,Sheet2!D467=Sheet1!D$19),1,0)</f>
        <v>0</v>
      </c>
      <c r="B467" s="10" t="s">
        <v>13</v>
      </c>
      <c r="C467" s="11">
        <v>0.75</v>
      </c>
      <c r="D467" s="22">
        <v>16</v>
      </c>
      <c r="E467" s="22">
        <v>11819</v>
      </c>
      <c r="F467" s="10" t="s">
        <v>74</v>
      </c>
      <c r="G467" s="10" t="str">
        <f t="shared" si="3"/>
        <v>11819A</v>
      </c>
    </row>
    <row r="468" spans="1:7" x14ac:dyDescent="0.25">
      <c r="A468">
        <f>IF(AND(Sheet2!B468=Sheet1!B$19,Sheet2!C468=Sheet1!C$19,Sheet2!D468=Sheet1!D$19),1,0)</f>
        <v>0</v>
      </c>
      <c r="B468" s="10" t="s">
        <v>13</v>
      </c>
      <c r="C468" s="11">
        <v>0.75</v>
      </c>
      <c r="D468" s="22">
        <v>17</v>
      </c>
      <c r="E468" s="22">
        <v>11820</v>
      </c>
      <c r="F468" s="10" t="s">
        <v>74</v>
      </c>
      <c r="G468" s="10" t="str">
        <f t="shared" si="3"/>
        <v>11820A</v>
      </c>
    </row>
    <row r="469" spans="1:7" x14ac:dyDescent="0.25">
      <c r="A469">
        <f>IF(AND(Sheet2!B469=Sheet1!B$19,Sheet2!C469=Sheet1!C$19,Sheet2!D469=Sheet1!D$19),1,0)</f>
        <v>0</v>
      </c>
      <c r="B469" s="10" t="s">
        <v>13</v>
      </c>
      <c r="C469" s="11">
        <v>0.75</v>
      </c>
      <c r="D469" s="22">
        <v>18</v>
      </c>
      <c r="E469" s="22">
        <v>11821</v>
      </c>
      <c r="F469" s="10" t="s">
        <v>74</v>
      </c>
      <c r="G469" s="10" t="str">
        <f t="shared" si="3"/>
        <v>11821A</v>
      </c>
    </row>
    <row r="470" spans="1:7" x14ac:dyDescent="0.25">
      <c r="A470">
        <f>IF(AND(Sheet2!B470=Sheet1!B$19,Sheet2!C470=Sheet1!C$19,Sheet2!D470=Sheet1!D$19),1,0)</f>
        <v>0</v>
      </c>
      <c r="B470" s="10" t="s">
        <v>13</v>
      </c>
      <c r="C470" s="11">
        <v>0.75</v>
      </c>
      <c r="D470" s="22">
        <v>19</v>
      </c>
      <c r="E470" s="22">
        <v>11822</v>
      </c>
      <c r="F470" s="10" t="s">
        <v>74</v>
      </c>
      <c r="G470" s="10" t="str">
        <f t="shared" si="3"/>
        <v>11822A</v>
      </c>
    </row>
    <row r="471" spans="1:7" x14ac:dyDescent="0.25">
      <c r="A471">
        <f>IF(AND(Sheet2!B471=Sheet1!B$19,Sheet2!C471=Sheet1!C$19,Sheet2!D471=Sheet1!D$19),1,0)</f>
        <v>0</v>
      </c>
      <c r="B471" s="10" t="s">
        <v>13</v>
      </c>
      <c r="C471" s="11">
        <v>0.75</v>
      </c>
      <c r="D471" s="22">
        <v>20</v>
      </c>
      <c r="E471" s="22">
        <v>11823</v>
      </c>
      <c r="F471" s="10" t="s">
        <v>74</v>
      </c>
      <c r="G471" s="10" t="str">
        <f t="shared" si="3"/>
        <v>11823A</v>
      </c>
    </row>
    <row r="472" spans="1:7" x14ac:dyDescent="0.25">
      <c r="A472">
        <f>IF(AND(Sheet2!B472=Sheet1!B$19,Sheet2!C472=Sheet1!C$19,Sheet2!D472=Sheet1!D$19),1,0)</f>
        <v>0</v>
      </c>
      <c r="B472" s="10" t="s">
        <v>13</v>
      </c>
      <c r="C472" s="11">
        <v>0.75</v>
      </c>
      <c r="D472" s="22">
        <v>21</v>
      </c>
      <c r="E472" s="22">
        <v>11824</v>
      </c>
      <c r="F472" s="10" t="s">
        <v>74</v>
      </c>
      <c r="G472" s="10" t="str">
        <f t="shared" si="3"/>
        <v>11824A</v>
      </c>
    </row>
    <row r="473" spans="1:7" x14ac:dyDescent="0.25">
      <c r="A473">
        <f>IF(AND(Sheet2!B473=Sheet1!B$19,Sheet2!C473=Sheet1!C$19,Sheet2!D473=Sheet1!D$19),1,0)</f>
        <v>0</v>
      </c>
      <c r="B473" s="10" t="s">
        <v>13</v>
      </c>
      <c r="C473" s="11">
        <v>0.75</v>
      </c>
      <c r="D473" s="22">
        <v>22</v>
      </c>
      <c r="E473" s="22">
        <v>11825</v>
      </c>
      <c r="F473" s="10" t="s">
        <v>74</v>
      </c>
      <c r="G473" s="10" t="str">
        <f t="shared" si="3"/>
        <v>11825A</v>
      </c>
    </row>
    <row r="474" spans="1:7" x14ac:dyDescent="0.25">
      <c r="A474">
        <f>IF(AND(Sheet2!B474=Sheet1!B$19,Sheet2!C474=Sheet1!C$19,Sheet2!D474=Sheet1!D$19),1,0)</f>
        <v>0</v>
      </c>
      <c r="B474" s="10" t="s">
        <v>13</v>
      </c>
      <c r="C474" s="11">
        <v>0.75</v>
      </c>
      <c r="D474" s="22">
        <v>23</v>
      </c>
      <c r="E474" s="22">
        <v>11826</v>
      </c>
      <c r="F474" s="10" t="s">
        <v>74</v>
      </c>
      <c r="G474" s="10" t="str">
        <f t="shared" si="3"/>
        <v>11826A</v>
      </c>
    </row>
    <row r="475" spans="1:7" x14ac:dyDescent="0.25">
      <c r="A475">
        <f>IF(AND(Sheet2!B475=Sheet1!B$19,Sheet2!C475=Sheet1!C$19,Sheet2!D475=Sheet1!D$19),1,0)</f>
        <v>0</v>
      </c>
      <c r="B475" s="10" t="s">
        <v>13</v>
      </c>
      <c r="C475" s="11">
        <v>0.75</v>
      </c>
      <c r="D475" s="22">
        <v>24</v>
      </c>
      <c r="E475" s="22">
        <v>11827</v>
      </c>
      <c r="F475" s="10" t="s">
        <v>74</v>
      </c>
      <c r="G475" s="10" t="str">
        <f t="shared" si="3"/>
        <v>11827A</v>
      </c>
    </row>
    <row r="476" spans="1:7" x14ac:dyDescent="0.25">
      <c r="A476">
        <f>IF(AND(Sheet2!B476=Sheet1!B$19,Sheet2!C476=Sheet1!C$19,Sheet2!D476=Sheet1!D$19),1,0)</f>
        <v>0</v>
      </c>
      <c r="B476" s="10" t="s">
        <v>13</v>
      </c>
      <c r="C476" s="11">
        <v>0.75</v>
      </c>
      <c r="D476" s="22">
        <v>25</v>
      </c>
      <c r="E476" s="22">
        <v>11828</v>
      </c>
      <c r="F476" s="10" t="s">
        <v>74</v>
      </c>
      <c r="G476" s="10" t="str">
        <f t="shared" si="3"/>
        <v>11828A</v>
      </c>
    </row>
    <row r="477" spans="1:7" x14ac:dyDescent="0.25">
      <c r="A477">
        <f>IF(AND(Sheet2!B477=Sheet1!B$19,Sheet2!C477=Sheet1!C$19,Sheet2!D477=Sheet1!D$19),1,0)</f>
        <v>0</v>
      </c>
      <c r="B477" s="10" t="s">
        <v>13</v>
      </c>
      <c r="C477" s="11">
        <v>0.75</v>
      </c>
      <c r="D477" s="22">
        <v>26</v>
      </c>
      <c r="E477" s="22">
        <v>11829</v>
      </c>
      <c r="F477" s="10" t="s">
        <v>74</v>
      </c>
      <c r="G477" s="10" t="str">
        <f t="shared" si="3"/>
        <v>11829A</v>
      </c>
    </row>
    <row r="478" spans="1:7" x14ac:dyDescent="0.25">
      <c r="A478">
        <f>IF(AND(Sheet2!B478=Sheet1!B$19,Sheet2!C478=Sheet1!C$19,Sheet2!D478=Sheet1!D$19),1,0)</f>
        <v>0</v>
      </c>
      <c r="B478" s="10" t="s">
        <v>13</v>
      </c>
      <c r="C478" s="11">
        <v>0.75</v>
      </c>
      <c r="D478" s="22">
        <v>27</v>
      </c>
      <c r="E478" s="22">
        <v>11830</v>
      </c>
      <c r="F478" s="10" t="s">
        <v>74</v>
      </c>
      <c r="G478" s="10" t="str">
        <f t="shared" si="3"/>
        <v>11830A</v>
      </c>
    </row>
    <row r="479" spans="1:7" x14ac:dyDescent="0.25">
      <c r="A479">
        <f>IF(AND(Sheet2!B479=Sheet1!B$19,Sheet2!C479=Sheet1!C$19,Sheet2!D479=Sheet1!D$19),1,0)</f>
        <v>0</v>
      </c>
      <c r="B479" s="10" t="s">
        <v>13</v>
      </c>
      <c r="C479" s="11">
        <v>0.75</v>
      </c>
      <c r="D479" s="22">
        <v>28</v>
      </c>
      <c r="E479" s="22">
        <v>11831</v>
      </c>
      <c r="F479" s="10" t="s">
        <v>74</v>
      </c>
      <c r="G479" s="10" t="str">
        <f t="shared" si="3"/>
        <v>11831A</v>
      </c>
    </row>
    <row r="480" spans="1:7" x14ac:dyDescent="0.25">
      <c r="A480">
        <f>IF(AND(Sheet2!B480=Sheet1!B$19,Sheet2!C480=Sheet1!C$19,Sheet2!D480=Sheet1!D$19),1,0)</f>
        <v>0</v>
      </c>
      <c r="B480" s="10" t="s">
        <v>13</v>
      </c>
      <c r="C480" s="11">
        <v>0.75</v>
      </c>
      <c r="D480" s="22">
        <v>29</v>
      </c>
      <c r="E480" s="22">
        <v>11832</v>
      </c>
      <c r="F480" s="10" t="s">
        <v>74</v>
      </c>
      <c r="G480" s="10" t="str">
        <f t="shared" si="3"/>
        <v>11832A</v>
      </c>
    </row>
    <row r="481" spans="1:7" x14ac:dyDescent="0.25">
      <c r="A481">
        <f>IF(AND(Sheet2!B481=Sheet1!B$19,Sheet2!C481=Sheet1!C$19,Sheet2!D481=Sheet1!D$19),1,0)</f>
        <v>0</v>
      </c>
      <c r="B481" s="10" t="s">
        <v>13</v>
      </c>
      <c r="C481" s="11">
        <v>0.75</v>
      </c>
      <c r="D481" s="22">
        <v>30</v>
      </c>
      <c r="E481" s="22">
        <v>11833</v>
      </c>
      <c r="F481" s="10" t="s">
        <v>74</v>
      </c>
      <c r="G481" s="10" t="str">
        <f t="shared" si="3"/>
        <v>11833A</v>
      </c>
    </row>
    <row r="482" spans="1:7" x14ac:dyDescent="0.25">
      <c r="A482">
        <f>IF(AND(Sheet2!B482=Sheet1!B$19,Sheet2!C482=Sheet1!C$19,Sheet2!D482=Sheet1!D$19),1,0)</f>
        <v>0</v>
      </c>
      <c r="B482" s="10" t="s">
        <v>13</v>
      </c>
      <c r="C482" s="11">
        <v>0.75</v>
      </c>
      <c r="D482" s="22">
        <v>31</v>
      </c>
      <c r="E482" s="22">
        <v>11834</v>
      </c>
      <c r="F482" s="10" t="s">
        <v>74</v>
      </c>
      <c r="G482" s="10" t="str">
        <f t="shared" si="3"/>
        <v>11834A</v>
      </c>
    </row>
    <row r="483" spans="1:7" x14ac:dyDescent="0.25">
      <c r="A483">
        <f>IF(AND(Sheet2!B483=Sheet1!B$19,Sheet2!C483=Sheet1!C$19,Sheet2!D483=Sheet1!D$19),1,0)</f>
        <v>0</v>
      </c>
      <c r="B483" s="10" t="s">
        <v>13</v>
      </c>
      <c r="C483" s="11">
        <v>0.75</v>
      </c>
      <c r="D483" s="22">
        <v>32</v>
      </c>
      <c r="E483" s="22">
        <v>11835</v>
      </c>
      <c r="F483" s="10" t="s">
        <v>74</v>
      </c>
      <c r="G483" s="10" t="str">
        <f t="shared" si="3"/>
        <v>11835A</v>
      </c>
    </row>
    <row r="484" spans="1:7" x14ac:dyDescent="0.25">
      <c r="A484">
        <f>IF(AND(Sheet2!B484=Sheet1!B$19,Sheet2!C484=Sheet1!C$19,Sheet2!D484=Sheet1!D$19),1,0)</f>
        <v>0</v>
      </c>
      <c r="B484" s="10" t="s">
        <v>13</v>
      </c>
      <c r="C484" s="11">
        <v>0.75</v>
      </c>
      <c r="D484" s="22">
        <v>33</v>
      </c>
      <c r="E484" s="22">
        <v>11836</v>
      </c>
      <c r="F484" s="10" t="s">
        <v>74</v>
      </c>
      <c r="G484" s="10" t="str">
        <f t="shared" si="3"/>
        <v>11836A</v>
      </c>
    </row>
    <row r="485" spans="1:7" x14ac:dyDescent="0.25">
      <c r="A485">
        <f>IF(AND(Sheet2!B485=Sheet1!B$19,Sheet2!C485=Sheet1!C$19,Sheet2!D485=Sheet1!D$19),1,0)</f>
        <v>0</v>
      </c>
      <c r="B485" s="10" t="s">
        <v>13</v>
      </c>
      <c r="C485" s="11">
        <v>0.75</v>
      </c>
      <c r="D485" s="22">
        <v>34</v>
      </c>
      <c r="E485" s="22">
        <v>11837</v>
      </c>
      <c r="F485" s="10" t="s">
        <v>74</v>
      </c>
      <c r="G485" s="10" t="str">
        <f t="shared" si="3"/>
        <v>11837A</v>
      </c>
    </row>
    <row r="486" spans="1:7" x14ac:dyDescent="0.25">
      <c r="A486">
        <f>IF(AND(Sheet2!B486=Sheet1!B$19,Sheet2!C486=Sheet1!C$19,Sheet2!D486=Sheet1!D$19),1,0)</f>
        <v>0</v>
      </c>
      <c r="B486" s="10" t="s">
        <v>13</v>
      </c>
      <c r="C486" s="11">
        <v>0.75</v>
      </c>
      <c r="D486" s="22">
        <v>35</v>
      </c>
      <c r="E486" s="22">
        <v>11838</v>
      </c>
      <c r="F486" s="10" t="s">
        <v>74</v>
      </c>
      <c r="G486" s="10" t="str">
        <f t="shared" si="3"/>
        <v>11838A</v>
      </c>
    </row>
    <row r="487" spans="1:7" x14ac:dyDescent="0.25">
      <c r="A487">
        <f>IF(AND(Sheet2!B487=Sheet1!B$19,Sheet2!C487=Sheet1!C$19,Sheet2!D487=Sheet1!D$19),1,0)</f>
        <v>0</v>
      </c>
      <c r="B487" s="10" t="s">
        <v>13</v>
      </c>
      <c r="C487" s="11">
        <v>0.75</v>
      </c>
      <c r="D487" s="22">
        <v>36</v>
      </c>
      <c r="E487" s="22">
        <v>11839</v>
      </c>
      <c r="F487" s="10" t="s">
        <v>74</v>
      </c>
      <c r="G487" s="10" t="str">
        <f t="shared" si="3"/>
        <v>11839A</v>
      </c>
    </row>
    <row r="488" spans="1:7" x14ac:dyDescent="0.25">
      <c r="A488">
        <f>IF(AND(Sheet2!B488=Sheet1!B$19,Sheet2!C488=Sheet1!C$19,Sheet2!D488=Sheet1!D$19),1,0)</f>
        <v>0</v>
      </c>
      <c r="B488" s="10" t="s">
        <v>13</v>
      </c>
      <c r="C488" s="11">
        <v>0.75</v>
      </c>
      <c r="D488" s="22">
        <v>37</v>
      </c>
      <c r="E488" s="22">
        <v>11840</v>
      </c>
      <c r="F488" s="10" t="s">
        <v>74</v>
      </c>
      <c r="G488" s="10" t="str">
        <f t="shared" si="3"/>
        <v>11840A</v>
      </c>
    </row>
    <row r="489" spans="1:7" x14ac:dyDescent="0.25">
      <c r="A489">
        <f>IF(AND(Sheet2!B489=Sheet1!B$19,Sheet2!C489=Sheet1!C$19,Sheet2!D489=Sheet1!D$19),1,0)</f>
        <v>0</v>
      </c>
      <c r="B489" s="10" t="s">
        <v>13</v>
      </c>
      <c r="C489" s="11">
        <v>0.75</v>
      </c>
      <c r="D489" s="22">
        <v>38</v>
      </c>
      <c r="E489" s="22">
        <v>11841</v>
      </c>
      <c r="F489" s="10" t="s">
        <v>74</v>
      </c>
      <c r="G489" s="10" t="str">
        <f t="shared" si="3"/>
        <v>11841A</v>
      </c>
    </row>
    <row r="490" spans="1:7" x14ac:dyDescent="0.25">
      <c r="A490">
        <f>IF(AND(Sheet2!B490=Sheet1!B$19,Sheet2!C490=Sheet1!C$19,Sheet2!D490=Sheet1!D$19),1,0)</f>
        <v>0</v>
      </c>
      <c r="B490" s="10" t="s">
        <v>13</v>
      </c>
      <c r="C490" s="11">
        <v>0.75</v>
      </c>
      <c r="D490" s="22">
        <v>39</v>
      </c>
      <c r="E490" s="22">
        <v>11842</v>
      </c>
      <c r="F490" s="10" t="s">
        <v>74</v>
      </c>
      <c r="G490" s="10" t="str">
        <f t="shared" si="3"/>
        <v>11842A</v>
      </c>
    </row>
    <row r="491" spans="1:7" x14ac:dyDescent="0.25">
      <c r="A491">
        <f>IF(AND(Sheet2!B491=Sheet1!B$19,Sheet2!C491=Sheet1!C$19,Sheet2!D491=Sheet1!D$19),1,0)</f>
        <v>0</v>
      </c>
      <c r="B491" s="10" t="s">
        <v>13</v>
      </c>
      <c r="C491" s="11">
        <v>0.75</v>
      </c>
      <c r="D491" s="22">
        <v>40</v>
      </c>
      <c r="E491" s="22">
        <v>11843</v>
      </c>
      <c r="F491" s="10" t="s">
        <v>74</v>
      </c>
      <c r="G491" s="10" t="str">
        <f t="shared" si="3"/>
        <v>11843A</v>
      </c>
    </row>
    <row r="492" spans="1:7" x14ac:dyDescent="0.25">
      <c r="A492">
        <f>IF(AND(Sheet2!B492=Sheet1!B$19,Sheet2!C492=Sheet1!C$19,Sheet2!D492=Sheet1!D$19),1,0)</f>
        <v>0</v>
      </c>
      <c r="B492" s="10" t="s">
        <v>13</v>
      </c>
      <c r="C492" s="11">
        <v>0.75</v>
      </c>
      <c r="D492" s="22">
        <v>41</v>
      </c>
      <c r="E492" s="22">
        <v>11844</v>
      </c>
      <c r="F492" s="10" t="s">
        <v>74</v>
      </c>
      <c r="G492" s="10" t="str">
        <f t="shared" si="3"/>
        <v>11844A</v>
      </c>
    </row>
    <row r="493" spans="1:7" x14ac:dyDescent="0.25">
      <c r="A493">
        <f>IF(AND(Sheet2!B493=Sheet1!B$19,Sheet2!C493=Sheet1!C$19,Sheet2!D493=Sheet1!D$19),1,0)</f>
        <v>0</v>
      </c>
      <c r="B493" s="10" t="s">
        <v>13</v>
      </c>
      <c r="C493" s="11">
        <v>0.75</v>
      </c>
      <c r="D493" s="22">
        <v>42</v>
      </c>
      <c r="E493" s="22">
        <v>11845</v>
      </c>
      <c r="F493" s="10" t="s">
        <v>74</v>
      </c>
      <c r="G493" s="10" t="str">
        <f t="shared" si="3"/>
        <v>11845A</v>
      </c>
    </row>
    <row r="494" spans="1:7" x14ac:dyDescent="0.25">
      <c r="A494">
        <f>IF(AND(Sheet2!B494=Sheet1!B$19,Sheet2!C494=Sheet1!C$19,Sheet2!D494=Sheet1!D$19),1,0)</f>
        <v>0</v>
      </c>
      <c r="B494" s="10" t="s">
        <v>13</v>
      </c>
      <c r="C494" s="11">
        <v>0.75</v>
      </c>
      <c r="D494" s="22">
        <v>43</v>
      </c>
      <c r="E494" s="22">
        <v>11846</v>
      </c>
      <c r="F494" s="10" t="s">
        <v>74</v>
      </c>
      <c r="G494" s="10" t="str">
        <f t="shared" si="3"/>
        <v>11846A</v>
      </c>
    </row>
    <row r="495" spans="1:7" x14ac:dyDescent="0.25">
      <c r="A495">
        <f>IF(AND(Sheet2!B495=Sheet1!B$19,Sheet2!C495=Sheet1!C$19,Sheet2!D495=Sheet1!D$19),1,0)</f>
        <v>0</v>
      </c>
      <c r="B495" s="10" t="s">
        <v>13</v>
      </c>
      <c r="C495" s="11">
        <v>0.75</v>
      </c>
      <c r="D495" s="22">
        <v>44</v>
      </c>
      <c r="E495" s="22">
        <v>11847</v>
      </c>
      <c r="F495" s="10" t="s">
        <v>74</v>
      </c>
      <c r="G495" s="10" t="str">
        <f t="shared" si="3"/>
        <v>11847A</v>
      </c>
    </row>
    <row r="496" spans="1:7" x14ac:dyDescent="0.25">
      <c r="A496">
        <f>IF(AND(Sheet2!B496=Sheet1!B$19,Sheet2!C496=Sheet1!C$19,Sheet2!D496=Sheet1!D$19),1,0)</f>
        <v>0</v>
      </c>
      <c r="B496" s="10" t="s">
        <v>13</v>
      </c>
      <c r="C496" s="11">
        <v>0.75</v>
      </c>
      <c r="D496" s="22">
        <v>45</v>
      </c>
      <c r="E496" s="22">
        <v>11848</v>
      </c>
      <c r="F496" s="10" t="s">
        <v>74</v>
      </c>
      <c r="G496" s="10" t="str">
        <f t="shared" si="3"/>
        <v>11848A</v>
      </c>
    </row>
    <row r="497" spans="1:7" x14ac:dyDescent="0.25">
      <c r="A497">
        <f>IF(AND(Sheet2!B497=Sheet1!B$19,Sheet2!C497=Sheet1!C$19,Sheet2!D497=Sheet1!D$19),1,0)</f>
        <v>0</v>
      </c>
      <c r="B497" s="10" t="s">
        <v>13</v>
      </c>
      <c r="C497" s="11">
        <v>0.75</v>
      </c>
      <c r="D497" s="22">
        <v>46</v>
      </c>
      <c r="E497" s="22">
        <v>11849</v>
      </c>
      <c r="F497" s="10" t="s">
        <v>74</v>
      </c>
      <c r="G497" s="10" t="str">
        <f t="shared" si="3"/>
        <v>11849A</v>
      </c>
    </row>
    <row r="498" spans="1:7" x14ac:dyDescent="0.25">
      <c r="A498">
        <f>IF(AND(Sheet2!B498=Sheet1!B$19,Sheet2!C498=Sheet1!C$19,Sheet2!D498=Sheet1!D$19),1,0)</f>
        <v>0</v>
      </c>
      <c r="B498" s="10" t="s">
        <v>13</v>
      </c>
      <c r="C498" s="11">
        <v>0.75</v>
      </c>
      <c r="D498" s="22">
        <v>47</v>
      </c>
      <c r="E498" s="22">
        <v>11850</v>
      </c>
      <c r="F498" s="10" t="s">
        <v>74</v>
      </c>
      <c r="G498" s="10" t="str">
        <f t="shared" si="3"/>
        <v>11850A</v>
      </c>
    </row>
    <row r="499" spans="1:7" x14ac:dyDescent="0.25">
      <c r="A499">
        <f>IF(AND(Sheet2!B499=Sheet1!B$19,Sheet2!C499=Sheet1!C$19,Sheet2!D499=Sheet1!D$19),1,0)</f>
        <v>0</v>
      </c>
      <c r="B499" s="10" t="s">
        <v>13</v>
      </c>
      <c r="C499" s="11">
        <v>0.75</v>
      </c>
      <c r="D499" s="22">
        <v>48</v>
      </c>
      <c r="E499" s="22">
        <v>11851</v>
      </c>
      <c r="F499" s="10" t="s">
        <v>74</v>
      </c>
      <c r="G499" s="10" t="str">
        <f t="shared" si="3"/>
        <v>11851A</v>
      </c>
    </row>
    <row r="500" spans="1:7" x14ac:dyDescent="0.25">
      <c r="A500">
        <f>IF(AND(Sheet2!B500=Sheet1!B$19,Sheet2!C500=Sheet1!C$19,Sheet2!D500=Sheet1!D$19),1,0)</f>
        <v>0</v>
      </c>
      <c r="B500" s="10" t="s">
        <v>13</v>
      </c>
      <c r="C500" s="11">
        <v>0.75</v>
      </c>
      <c r="D500" s="22">
        <v>49</v>
      </c>
      <c r="E500" s="22">
        <v>11852</v>
      </c>
      <c r="F500" s="10" t="s">
        <v>74</v>
      </c>
      <c r="G500" s="10" t="str">
        <f t="shared" si="3"/>
        <v>11852A</v>
      </c>
    </row>
    <row r="501" spans="1:7" x14ac:dyDescent="0.25">
      <c r="A501">
        <f>IF(AND(Sheet2!B501=Sheet1!B$19,Sheet2!C501=Sheet1!C$19,Sheet2!D501=Sheet1!D$19),1,0)</f>
        <v>0</v>
      </c>
      <c r="B501" s="10" t="s">
        <v>13</v>
      </c>
      <c r="C501" s="11">
        <v>0.75</v>
      </c>
      <c r="D501" s="22">
        <v>50</v>
      </c>
      <c r="E501" s="22">
        <v>11853</v>
      </c>
      <c r="F501" s="10" t="s">
        <v>74</v>
      </c>
      <c r="G501" s="10" t="str">
        <f t="shared" si="3"/>
        <v>11853A</v>
      </c>
    </row>
    <row r="502" spans="1:7" x14ac:dyDescent="0.25">
      <c r="A502">
        <f>IF(AND(Sheet2!B502=Sheet1!B$19,Sheet2!C502=Sheet1!C$19,Sheet2!D502=Sheet1!D$19),1,0)</f>
        <v>0</v>
      </c>
      <c r="B502" s="10" t="s">
        <v>13</v>
      </c>
      <c r="C502" s="11">
        <v>0.75</v>
      </c>
      <c r="D502" s="22">
        <v>51</v>
      </c>
      <c r="E502" s="22">
        <v>11854</v>
      </c>
      <c r="F502" s="10" t="s">
        <v>74</v>
      </c>
      <c r="G502" s="10" t="str">
        <f t="shared" si="3"/>
        <v>11854A</v>
      </c>
    </row>
    <row r="503" spans="1:7" x14ac:dyDescent="0.25">
      <c r="A503">
        <f>IF(AND(Sheet2!B503=Sheet1!B$19,Sheet2!C503=Sheet1!C$19,Sheet2!D503=Sheet1!D$19),1,0)</f>
        <v>0</v>
      </c>
      <c r="B503" s="10" t="s">
        <v>13</v>
      </c>
      <c r="C503" s="11">
        <v>0.75</v>
      </c>
      <c r="D503" s="22">
        <v>52</v>
      </c>
      <c r="E503" s="22">
        <v>11855</v>
      </c>
      <c r="F503" s="10" t="s">
        <v>74</v>
      </c>
      <c r="G503" s="10" t="str">
        <f t="shared" si="3"/>
        <v>11855A</v>
      </c>
    </row>
    <row r="504" spans="1:7" x14ac:dyDescent="0.25">
      <c r="A504">
        <f>IF(AND(Sheet2!B504=Sheet1!B$19,Sheet2!C504=Sheet1!C$19,Sheet2!D504=Sheet1!D$19),1,0)</f>
        <v>0</v>
      </c>
      <c r="B504" s="10" t="s">
        <v>13</v>
      </c>
      <c r="C504" s="11">
        <v>0.75</v>
      </c>
      <c r="D504" s="22">
        <v>53</v>
      </c>
      <c r="E504" s="22">
        <v>11856</v>
      </c>
      <c r="F504" s="10" t="s">
        <v>74</v>
      </c>
      <c r="G504" s="10" t="str">
        <f t="shared" si="3"/>
        <v>11856A</v>
      </c>
    </row>
    <row r="505" spans="1:7" x14ac:dyDescent="0.25">
      <c r="A505">
        <f>IF(AND(Sheet2!B505=Sheet1!B$19,Sheet2!C505=Sheet1!C$19,Sheet2!D505=Sheet1!D$19),1,0)</f>
        <v>0</v>
      </c>
      <c r="B505" s="10" t="s">
        <v>13</v>
      </c>
      <c r="C505" s="11">
        <v>0.75</v>
      </c>
      <c r="D505" s="22">
        <v>54</v>
      </c>
      <c r="E505" s="22">
        <v>11857</v>
      </c>
      <c r="F505" s="10" t="s">
        <v>74</v>
      </c>
      <c r="G505" s="10" t="str">
        <f t="shared" si="3"/>
        <v>11857A</v>
      </c>
    </row>
    <row r="506" spans="1:7" x14ac:dyDescent="0.25">
      <c r="A506">
        <f>IF(AND(Sheet2!B506=Sheet1!B$19,Sheet2!C506=Sheet1!C$19,Sheet2!D506=Sheet1!D$19),1,0)</f>
        <v>0</v>
      </c>
      <c r="B506" s="10" t="s">
        <v>13</v>
      </c>
      <c r="C506" s="11">
        <v>0.75</v>
      </c>
      <c r="D506" s="22">
        <v>55</v>
      </c>
      <c r="E506" s="22">
        <v>11858</v>
      </c>
      <c r="F506" s="10" t="s">
        <v>74</v>
      </c>
      <c r="G506" s="10" t="str">
        <f t="shared" si="3"/>
        <v>11858A</v>
      </c>
    </row>
    <row r="507" spans="1:7" x14ac:dyDescent="0.25">
      <c r="A507">
        <f>IF(AND(Sheet2!B507=Sheet1!B$19,Sheet2!C507=Sheet1!C$19,Sheet2!D507=Sheet1!D$19),1,0)</f>
        <v>0</v>
      </c>
      <c r="B507" s="10" t="s">
        <v>13</v>
      </c>
      <c r="C507" s="11">
        <v>0.75</v>
      </c>
      <c r="D507" s="22">
        <v>56</v>
      </c>
      <c r="E507" s="22">
        <v>11859</v>
      </c>
      <c r="F507" s="10" t="s">
        <v>74</v>
      </c>
      <c r="G507" s="10" t="str">
        <f t="shared" si="3"/>
        <v>11859A</v>
      </c>
    </row>
    <row r="508" spans="1:7" x14ac:dyDescent="0.25">
      <c r="A508">
        <f>IF(AND(Sheet2!B508=Sheet1!B$19,Sheet2!C508=Sheet1!C$19,Sheet2!D508=Sheet1!D$19),1,0)</f>
        <v>0</v>
      </c>
      <c r="B508" s="10" t="s">
        <v>13</v>
      </c>
      <c r="C508" s="11">
        <v>0.75</v>
      </c>
      <c r="D508" s="22">
        <v>57</v>
      </c>
      <c r="E508" s="22">
        <v>11860</v>
      </c>
      <c r="F508" s="10" t="s">
        <v>74</v>
      </c>
      <c r="G508" s="10" t="str">
        <f t="shared" si="3"/>
        <v>11860A</v>
      </c>
    </row>
    <row r="509" spans="1:7" x14ac:dyDescent="0.25">
      <c r="A509">
        <f>IF(AND(Sheet2!B509=Sheet1!B$19,Sheet2!C509=Sheet1!C$19,Sheet2!D509=Sheet1!D$19),1,0)</f>
        <v>0</v>
      </c>
      <c r="B509" s="10" t="s">
        <v>13</v>
      </c>
      <c r="C509" s="11">
        <v>0.75</v>
      </c>
      <c r="D509" s="22">
        <v>58</v>
      </c>
      <c r="E509" s="22">
        <v>11861</v>
      </c>
      <c r="F509" s="10" t="s">
        <v>74</v>
      </c>
      <c r="G509" s="10" t="str">
        <f t="shared" si="3"/>
        <v>11861A</v>
      </c>
    </row>
    <row r="510" spans="1:7" x14ac:dyDescent="0.25">
      <c r="A510">
        <f>IF(AND(Sheet2!B510=Sheet1!B$19,Sheet2!C510=Sheet1!C$19,Sheet2!D510=Sheet1!D$19),1,0)</f>
        <v>0</v>
      </c>
      <c r="B510" s="10" t="s">
        <v>13</v>
      </c>
      <c r="C510" s="11">
        <v>0.75</v>
      </c>
      <c r="D510" s="22">
        <v>59</v>
      </c>
      <c r="E510" s="22">
        <v>11862</v>
      </c>
      <c r="F510" s="10" t="s">
        <v>74</v>
      </c>
      <c r="G510" s="10" t="str">
        <f t="shared" si="3"/>
        <v>11862A</v>
      </c>
    </row>
    <row r="511" spans="1:7" x14ac:dyDescent="0.25">
      <c r="A511">
        <f>IF(AND(Sheet2!B511=Sheet1!B$19,Sheet2!C511=Sheet1!C$19,Sheet2!D511=Sheet1!D$19),1,0)</f>
        <v>0</v>
      </c>
      <c r="B511" s="10" t="s">
        <v>13</v>
      </c>
      <c r="C511" s="11">
        <v>0.75</v>
      </c>
      <c r="D511" s="22">
        <v>60</v>
      </c>
      <c r="E511" s="22">
        <v>11863</v>
      </c>
      <c r="F511" s="10" t="s">
        <v>74</v>
      </c>
      <c r="G511" s="10" t="str">
        <f t="shared" si="3"/>
        <v>11863A</v>
      </c>
    </row>
    <row r="512" spans="1:7" x14ac:dyDescent="0.25">
      <c r="A512">
        <f>IF(AND(Sheet2!B512=Sheet1!B$19,Sheet2!C512=Sheet1!C$19,Sheet2!D512=Sheet1!D$19),1,0)</f>
        <v>0</v>
      </c>
      <c r="B512" s="10" t="s">
        <v>13</v>
      </c>
      <c r="C512" s="11">
        <v>1</v>
      </c>
      <c r="D512" s="22">
        <v>2</v>
      </c>
      <c r="E512" s="22">
        <v>11864</v>
      </c>
      <c r="F512" s="10" t="s">
        <v>74</v>
      </c>
      <c r="G512" s="10" t="str">
        <f t="shared" si="3"/>
        <v>11864A</v>
      </c>
    </row>
    <row r="513" spans="1:7" x14ac:dyDescent="0.25">
      <c r="A513">
        <f>IF(AND(Sheet2!B513=Sheet1!B$19,Sheet2!C513=Sheet1!C$19,Sheet2!D513=Sheet1!D$19),1,0)</f>
        <v>0</v>
      </c>
      <c r="B513" s="10" t="s">
        <v>13</v>
      </c>
      <c r="C513" s="11">
        <v>1</v>
      </c>
      <c r="D513" s="22">
        <v>3</v>
      </c>
      <c r="E513" s="22">
        <v>11865</v>
      </c>
      <c r="F513" s="10" t="s">
        <v>74</v>
      </c>
      <c r="G513" s="10" t="str">
        <f t="shared" si="3"/>
        <v>11865A</v>
      </c>
    </row>
    <row r="514" spans="1:7" x14ac:dyDescent="0.25">
      <c r="A514">
        <f>IF(AND(Sheet2!B514=Sheet1!B$19,Sheet2!C514=Sheet1!C$19,Sheet2!D514=Sheet1!D$19),1,0)</f>
        <v>0</v>
      </c>
      <c r="B514" s="10" t="s">
        <v>13</v>
      </c>
      <c r="C514" s="11">
        <v>1</v>
      </c>
      <c r="D514" s="22">
        <v>4</v>
      </c>
      <c r="E514" s="22">
        <v>11866</v>
      </c>
      <c r="F514" s="10" t="s">
        <v>74</v>
      </c>
      <c r="G514" s="10" t="str">
        <f t="shared" si="3"/>
        <v>11866A</v>
      </c>
    </row>
    <row r="515" spans="1:7" x14ac:dyDescent="0.25">
      <c r="A515">
        <f>IF(AND(Sheet2!B515=Sheet1!B$19,Sheet2!C515=Sheet1!C$19,Sheet2!D515=Sheet1!D$19),1,0)</f>
        <v>0</v>
      </c>
      <c r="B515" s="10" t="s">
        <v>13</v>
      </c>
      <c r="C515" s="11">
        <v>1</v>
      </c>
      <c r="D515" s="22">
        <v>5</v>
      </c>
      <c r="E515" s="22">
        <v>11867</v>
      </c>
      <c r="F515" s="10" t="s">
        <v>74</v>
      </c>
      <c r="G515" s="10" t="str">
        <f t="shared" si="3"/>
        <v>11867A</v>
      </c>
    </row>
    <row r="516" spans="1:7" x14ac:dyDescent="0.25">
      <c r="A516">
        <f>IF(AND(Sheet2!B516=Sheet1!B$19,Sheet2!C516=Sheet1!C$19,Sheet2!D516=Sheet1!D$19),1,0)</f>
        <v>0</v>
      </c>
      <c r="B516" s="10" t="s">
        <v>13</v>
      </c>
      <c r="C516" s="11">
        <v>1</v>
      </c>
      <c r="D516" s="22">
        <v>6</v>
      </c>
      <c r="E516" s="22">
        <v>11868</v>
      </c>
      <c r="F516" s="10" t="s">
        <v>74</v>
      </c>
      <c r="G516" s="10" t="str">
        <f t="shared" si="3"/>
        <v>11868A</v>
      </c>
    </row>
    <row r="517" spans="1:7" x14ac:dyDescent="0.25">
      <c r="A517">
        <f>IF(AND(Sheet2!B517=Sheet1!B$19,Sheet2!C517=Sheet1!C$19,Sheet2!D517=Sheet1!D$19),1,0)</f>
        <v>0</v>
      </c>
      <c r="B517" s="10" t="s">
        <v>13</v>
      </c>
      <c r="C517" s="11">
        <v>1</v>
      </c>
      <c r="D517" s="22">
        <v>7</v>
      </c>
      <c r="E517" s="22">
        <v>11869</v>
      </c>
      <c r="F517" s="10" t="s">
        <v>74</v>
      </c>
      <c r="G517" s="10" t="str">
        <f t="shared" si="3"/>
        <v>11869A</v>
      </c>
    </row>
    <row r="518" spans="1:7" x14ac:dyDescent="0.25">
      <c r="A518">
        <f>IF(AND(Sheet2!B518=Sheet1!B$19,Sheet2!C518=Sheet1!C$19,Sheet2!D518=Sheet1!D$19),1,0)</f>
        <v>0</v>
      </c>
      <c r="B518" s="10" t="s">
        <v>13</v>
      </c>
      <c r="C518" s="11">
        <v>1</v>
      </c>
      <c r="D518" s="22">
        <v>8</v>
      </c>
      <c r="E518" s="22">
        <v>11870</v>
      </c>
      <c r="F518" s="10" t="s">
        <v>74</v>
      </c>
      <c r="G518" s="10" t="str">
        <f t="shared" si="3"/>
        <v>11870A</v>
      </c>
    </row>
    <row r="519" spans="1:7" x14ac:dyDescent="0.25">
      <c r="A519">
        <f>IF(AND(Sheet2!B519=Sheet1!B$19,Sheet2!C519=Sheet1!C$19,Sheet2!D519=Sheet1!D$19),1,0)</f>
        <v>0</v>
      </c>
      <c r="B519" s="10" t="s">
        <v>13</v>
      </c>
      <c r="C519" s="11">
        <v>1</v>
      </c>
      <c r="D519" s="22">
        <v>9</v>
      </c>
      <c r="E519" s="22">
        <v>11871</v>
      </c>
      <c r="F519" s="10" t="s">
        <v>74</v>
      </c>
      <c r="G519" s="10" t="str">
        <f t="shared" si="3"/>
        <v>11871A</v>
      </c>
    </row>
    <row r="520" spans="1:7" x14ac:dyDescent="0.25">
      <c r="A520">
        <f>IF(AND(Sheet2!B520=Sheet1!B$19,Sheet2!C520=Sheet1!C$19,Sheet2!D520=Sheet1!D$19),1,0)</f>
        <v>0</v>
      </c>
      <c r="B520" s="10" t="s">
        <v>13</v>
      </c>
      <c r="C520" s="11">
        <v>1</v>
      </c>
      <c r="D520" s="22">
        <v>10</v>
      </c>
      <c r="E520" s="22">
        <v>11872</v>
      </c>
      <c r="F520" s="10" t="s">
        <v>74</v>
      </c>
      <c r="G520" s="10" t="str">
        <f t="shared" si="3"/>
        <v>11872A</v>
      </c>
    </row>
    <row r="521" spans="1:7" x14ac:dyDescent="0.25">
      <c r="A521">
        <f>IF(AND(Sheet2!B521=Sheet1!B$19,Sheet2!C521=Sheet1!C$19,Sheet2!D521=Sheet1!D$19),1,0)</f>
        <v>0</v>
      </c>
      <c r="B521" s="10" t="s">
        <v>13</v>
      </c>
      <c r="C521" s="11">
        <v>1</v>
      </c>
      <c r="D521" s="22">
        <v>11</v>
      </c>
      <c r="E521" s="22">
        <v>11873</v>
      </c>
      <c r="F521" s="10" t="s">
        <v>74</v>
      </c>
      <c r="G521" s="10" t="str">
        <f t="shared" si="3"/>
        <v>11873A</v>
      </c>
    </row>
    <row r="522" spans="1:7" x14ac:dyDescent="0.25">
      <c r="A522">
        <f>IF(AND(Sheet2!B522=Sheet1!B$19,Sheet2!C522=Sheet1!C$19,Sheet2!D522=Sheet1!D$19),1,0)</f>
        <v>0</v>
      </c>
      <c r="B522" s="10" t="s">
        <v>13</v>
      </c>
      <c r="C522" s="11">
        <v>1</v>
      </c>
      <c r="D522" s="22">
        <v>12</v>
      </c>
      <c r="E522" s="22">
        <v>11874</v>
      </c>
      <c r="F522" s="10" t="s">
        <v>74</v>
      </c>
      <c r="G522" s="10" t="str">
        <f t="shared" si="3"/>
        <v>11874A</v>
      </c>
    </row>
    <row r="523" spans="1:7" x14ac:dyDescent="0.25">
      <c r="A523">
        <f>IF(AND(Sheet2!B523=Sheet1!B$19,Sheet2!C523=Sheet1!C$19,Sheet2!D523=Sheet1!D$19),1,0)</f>
        <v>0</v>
      </c>
      <c r="B523" s="10" t="s">
        <v>13</v>
      </c>
      <c r="C523" s="11">
        <v>1</v>
      </c>
      <c r="D523" s="22">
        <v>13</v>
      </c>
      <c r="E523" s="22">
        <v>11875</v>
      </c>
      <c r="F523" s="10" t="s">
        <v>74</v>
      </c>
      <c r="G523" s="10" t="str">
        <f t="shared" si="3"/>
        <v>11875A</v>
      </c>
    </row>
    <row r="524" spans="1:7" x14ac:dyDescent="0.25">
      <c r="A524">
        <f>IF(AND(Sheet2!B524=Sheet1!B$19,Sheet2!C524=Sheet1!C$19,Sheet2!D524=Sheet1!D$19),1,0)</f>
        <v>0</v>
      </c>
      <c r="B524" s="10" t="s">
        <v>13</v>
      </c>
      <c r="C524" s="11">
        <v>1</v>
      </c>
      <c r="D524" s="22">
        <v>14</v>
      </c>
      <c r="E524" s="22">
        <v>11876</v>
      </c>
      <c r="F524" s="10" t="s">
        <v>74</v>
      </c>
      <c r="G524" s="10" t="str">
        <f t="shared" si="3"/>
        <v>11876A</v>
      </c>
    </row>
    <row r="525" spans="1:7" x14ac:dyDescent="0.25">
      <c r="A525">
        <f>IF(AND(Sheet2!B525=Sheet1!B$19,Sheet2!C525=Sheet1!C$19,Sheet2!D525=Sheet1!D$19),1,0)</f>
        <v>0</v>
      </c>
      <c r="B525" s="10" t="s">
        <v>13</v>
      </c>
      <c r="C525" s="11">
        <v>1</v>
      </c>
      <c r="D525" s="22">
        <v>15</v>
      </c>
      <c r="E525" s="22">
        <v>11877</v>
      </c>
      <c r="F525" s="10" t="s">
        <v>74</v>
      </c>
      <c r="G525" s="10" t="str">
        <f t="shared" si="3"/>
        <v>11877A</v>
      </c>
    </row>
    <row r="526" spans="1:7" x14ac:dyDescent="0.25">
      <c r="A526">
        <f>IF(AND(Sheet2!B526=Sheet1!B$19,Sheet2!C526=Sheet1!C$19,Sheet2!D526=Sheet1!D$19),1,0)</f>
        <v>0</v>
      </c>
      <c r="B526" s="10" t="s">
        <v>13</v>
      </c>
      <c r="C526" s="11">
        <v>1</v>
      </c>
      <c r="D526" s="22">
        <v>16</v>
      </c>
      <c r="E526" s="22">
        <v>11878</v>
      </c>
      <c r="F526" s="10" t="s">
        <v>74</v>
      </c>
      <c r="G526" s="10" t="str">
        <f t="shared" si="3"/>
        <v>11878A</v>
      </c>
    </row>
    <row r="527" spans="1:7" x14ac:dyDescent="0.25">
      <c r="A527">
        <f>IF(AND(Sheet2!B527=Sheet1!B$19,Sheet2!C527=Sheet1!C$19,Sheet2!D527=Sheet1!D$19),1,0)</f>
        <v>0</v>
      </c>
      <c r="B527" s="10" t="s">
        <v>13</v>
      </c>
      <c r="C527" s="11">
        <v>1</v>
      </c>
      <c r="D527" s="22">
        <v>17</v>
      </c>
      <c r="E527" s="22">
        <v>11879</v>
      </c>
      <c r="F527" s="10" t="s">
        <v>74</v>
      </c>
      <c r="G527" s="10" t="str">
        <f t="shared" si="3"/>
        <v>11879A</v>
      </c>
    </row>
    <row r="528" spans="1:7" x14ac:dyDescent="0.25">
      <c r="A528">
        <f>IF(AND(Sheet2!B528=Sheet1!B$19,Sheet2!C528=Sheet1!C$19,Sheet2!D528=Sheet1!D$19),1,0)</f>
        <v>0</v>
      </c>
      <c r="B528" s="10" t="s">
        <v>13</v>
      </c>
      <c r="C528" s="11">
        <v>1</v>
      </c>
      <c r="D528" s="22">
        <v>18</v>
      </c>
      <c r="E528" s="22">
        <v>11880</v>
      </c>
      <c r="F528" s="10" t="s">
        <v>74</v>
      </c>
      <c r="G528" s="10" t="str">
        <f t="shared" si="3"/>
        <v>11880A</v>
      </c>
    </row>
    <row r="529" spans="1:7" x14ac:dyDescent="0.25">
      <c r="A529">
        <f>IF(AND(Sheet2!B529=Sheet1!B$19,Sheet2!C529=Sheet1!C$19,Sheet2!D529=Sheet1!D$19),1,0)</f>
        <v>0</v>
      </c>
      <c r="B529" s="10" t="s">
        <v>13</v>
      </c>
      <c r="C529" s="11">
        <v>1</v>
      </c>
      <c r="D529" s="22">
        <v>19</v>
      </c>
      <c r="E529" s="22">
        <v>11881</v>
      </c>
      <c r="F529" s="10" t="s">
        <v>74</v>
      </c>
      <c r="G529" s="10" t="str">
        <f t="shared" si="3"/>
        <v>11881A</v>
      </c>
    </row>
    <row r="530" spans="1:7" x14ac:dyDescent="0.25">
      <c r="A530">
        <f>IF(AND(Sheet2!B530=Sheet1!B$19,Sheet2!C530=Sheet1!C$19,Sheet2!D530=Sheet1!D$19),1,0)</f>
        <v>0</v>
      </c>
      <c r="B530" s="10" t="s">
        <v>13</v>
      </c>
      <c r="C530" s="11">
        <v>1</v>
      </c>
      <c r="D530" s="22">
        <v>20</v>
      </c>
      <c r="E530" s="22">
        <v>11882</v>
      </c>
      <c r="F530" s="10" t="s">
        <v>74</v>
      </c>
      <c r="G530" s="10" t="str">
        <f t="shared" si="3"/>
        <v>11882A</v>
      </c>
    </row>
    <row r="531" spans="1:7" x14ac:dyDescent="0.25">
      <c r="A531">
        <f>IF(AND(Sheet2!B531=Sheet1!B$19,Sheet2!C531=Sheet1!C$19,Sheet2!D531=Sheet1!D$19),1,0)</f>
        <v>0</v>
      </c>
      <c r="B531" s="10" t="s">
        <v>13</v>
      </c>
      <c r="C531" s="11">
        <v>1</v>
      </c>
      <c r="D531" s="22">
        <v>21</v>
      </c>
      <c r="E531" s="22">
        <v>11883</v>
      </c>
      <c r="F531" s="10" t="s">
        <v>74</v>
      </c>
      <c r="G531" s="10" t="str">
        <f t="shared" si="3"/>
        <v>11883A</v>
      </c>
    </row>
    <row r="532" spans="1:7" x14ac:dyDescent="0.25">
      <c r="A532">
        <f>IF(AND(Sheet2!B532=Sheet1!B$19,Sheet2!C532=Sheet1!C$19,Sheet2!D532=Sheet1!D$19),1,0)</f>
        <v>0</v>
      </c>
      <c r="B532" s="10" t="s">
        <v>13</v>
      </c>
      <c r="C532" s="11">
        <v>1</v>
      </c>
      <c r="D532" s="22">
        <v>22</v>
      </c>
      <c r="E532" s="22">
        <v>11884</v>
      </c>
      <c r="F532" s="10" t="s">
        <v>74</v>
      </c>
      <c r="G532" s="10" t="str">
        <f t="shared" si="3"/>
        <v>11884A</v>
      </c>
    </row>
    <row r="533" spans="1:7" x14ac:dyDescent="0.25">
      <c r="A533">
        <f>IF(AND(Sheet2!B533=Sheet1!B$19,Sheet2!C533=Sheet1!C$19,Sheet2!D533=Sheet1!D$19),1,0)</f>
        <v>0</v>
      </c>
      <c r="B533" s="10" t="s">
        <v>13</v>
      </c>
      <c r="C533" s="11">
        <v>1</v>
      </c>
      <c r="D533" s="22">
        <v>23</v>
      </c>
      <c r="E533" s="22">
        <v>11885</v>
      </c>
      <c r="F533" s="10" t="s">
        <v>74</v>
      </c>
      <c r="G533" s="10" t="str">
        <f t="shared" si="3"/>
        <v>11885A</v>
      </c>
    </row>
    <row r="534" spans="1:7" x14ac:dyDescent="0.25">
      <c r="A534">
        <f>IF(AND(Sheet2!B534=Sheet1!B$19,Sheet2!C534=Sheet1!C$19,Sheet2!D534=Sheet1!D$19),1,0)</f>
        <v>0</v>
      </c>
      <c r="B534" s="10" t="s">
        <v>13</v>
      </c>
      <c r="C534" s="11">
        <v>1</v>
      </c>
      <c r="D534" s="22">
        <v>24</v>
      </c>
      <c r="E534" s="22">
        <v>11886</v>
      </c>
      <c r="F534" s="10" t="s">
        <v>74</v>
      </c>
      <c r="G534" s="10" t="str">
        <f t="shared" si="3"/>
        <v>11886A</v>
      </c>
    </row>
    <row r="535" spans="1:7" x14ac:dyDescent="0.25">
      <c r="A535">
        <f>IF(AND(Sheet2!B535=Sheet1!B$19,Sheet2!C535=Sheet1!C$19,Sheet2!D535=Sheet1!D$19),1,0)</f>
        <v>0</v>
      </c>
      <c r="B535" s="10" t="s">
        <v>13</v>
      </c>
      <c r="C535" s="11">
        <v>1</v>
      </c>
      <c r="D535" s="22">
        <v>25</v>
      </c>
      <c r="E535" s="22">
        <v>11887</v>
      </c>
      <c r="F535" s="10" t="s">
        <v>74</v>
      </c>
      <c r="G535" s="10" t="str">
        <f t="shared" si="3"/>
        <v>11887A</v>
      </c>
    </row>
    <row r="536" spans="1:7" x14ac:dyDescent="0.25">
      <c r="A536">
        <f>IF(AND(Sheet2!B536=Sheet1!B$19,Sheet2!C536=Sheet1!C$19,Sheet2!D536=Sheet1!D$19),1,0)</f>
        <v>0</v>
      </c>
      <c r="B536" s="10" t="s">
        <v>13</v>
      </c>
      <c r="C536" s="11">
        <v>1</v>
      </c>
      <c r="D536" s="22">
        <v>26</v>
      </c>
      <c r="E536" s="22">
        <v>11888</v>
      </c>
      <c r="F536" s="10" t="s">
        <v>74</v>
      </c>
      <c r="G536" s="10" t="str">
        <f t="shared" si="3"/>
        <v>11888A</v>
      </c>
    </row>
    <row r="537" spans="1:7" x14ac:dyDescent="0.25">
      <c r="A537">
        <f>IF(AND(Sheet2!B537=Sheet1!B$19,Sheet2!C537=Sheet1!C$19,Sheet2!D537=Sheet1!D$19),1,0)</f>
        <v>0</v>
      </c>
      <c r="B537" s="10" t="s">
        <v>13</v>
      </c>
      <c r="C537" s="11">
        <v>1</v>
      </c>
      <c r="D537" s="22">
        <v>27</v>
      </c>
      <c r="E537" s="22">
        <v>11889</v>
      </c>
      <c r="F537" s="10" t="s">
        <v>74</v>
      </c>
      <c r="G537" s="10" t="str">
        <f t="shared" si="3"/>
        <v>11889A</v>
      </c>
    </row>
    <row r="538" spans="1:7" x14ac:dyDescent="0.25">
      <c r="A538">
        <f>IF(AND(Sheet2!B538=Sheet1!B$19,Sheet2!C538=Sheet1!C$19,Sheet2!D538=Sheet1!D$19),1,0)</f>
        <v>0</v>
      </c>
      <c r="B538" s="10" t="s">
        <v>13</v>
      </c>
      <c r="C538" s="11">
        <v>1</v>
      </c>
      <c r="D538" s="22">
        <v>28</v>
      </c>
      <c r="E538" s="22">
        <v>11890</v>
      </c>
      <c r="F538" s="10" t="s">
        <v>74</v>
      </c>
      <c r="G538" s="10" t="str">
        <f t="shared" si="3"/>
        <v>11890A</v>
      </c>
    </row>
    <row r="539" spans="1:7" x14ac:dyDescent="0.25">
      <c r="A539">
        <f>IF(AND(Sheet2!B539=Sheet1!B$19,Sheet2!C539=Sheet1!C$19,Sheet2!D539=Sheet1!D$19),1,0)</f>
        <v>0</v>
      </c>
      <c r="B539" s="10" t="s">
        <v>13</v>
      </c>
      <c r="C539" s="11">
        <v>1</v>
      </c>
      <c r="D539" s="22">
        <v>29</v>
      </c>
      <c r="E539" s="22">
        <v>11891</v>
      </c>
      <c r="F539" s="10" t="s">
        <v>74</v>
      </c>
      <c r="G539" s="10" t="str">
        <f t="shared" si="3"/>
        <v>11891A</v>
      </c>
    </row>
    <row r="540" spans="1:7" x14ac:dyDescent="0.25">
      <c r="A540">
        <f>IF(AND(Sheet2!B540=Sheet1!B$19,Sheet2!C540=Sheet1!C$19,Sheet2!D540=Sheet1!D$19),1,0)</f>
        <v>0</v>
      </c>
      <c r="B540" s="10" t="s">
        <v>13</v>
      </c>
      <c r="C540" s="11">
        <v>1</v>
      </c>
      <c r="D540" s="22">
        <v>30</v>
      </c>
      <c r="E540" s="22">
        <v>11892</v>
      </c>
      <c r="F540" s="10" t="s">
        <v>74</v>
      </c>
      <c r="G540" s="10" t="str">
        <f t="shared" si="3"/>
        <v>11892A</v>
      </c>
    </row>
    <row r="541" spans="1:7" x14ac:dyDescent="0.25">
      <c r="A541">
        <f>IF(AND(Sheet2!B541=Sheet1!B$19,Sheet2!C541=Sheet1!C$19,Sheet2!D541=Sheet1!D$19),1,0)</f>
        <v>0</v>
      </c>
      <c r="B541" s="10" t="s">
        <v>13</v>
      </c>
      <c r="C541" s="11">
        <v>1</v>
      </c>
      <c r="D541" s="22">
        <v>31</v>
      </c>
      <c r="E541" s="22">
        <v>11893</v>
      </c>
      <c r="F541" s="10" t="s">
        <v>74</v>
      </c>
      <c r="G541" s="10" t="str">
        <f t="shared" si="3"/>
        <v>11893A</v>
      </c>
    </row>
    <row r="542" spans="1:7" x14ac:dyDescent="0.25">
      <c r="A542">
        <f>IF(AND(Sheet2!B542=Sheet1!B$19,Sheet2!C542=Sheet1!C$19,Sheet2!D542=Sheet1!D$19),1,0)</f>
        <v>0</v>
      </c>
      <c r="B542" s="10" t="s">
        <v>13</v>
      </c>
      <c r="C542" s="11">
        <v>1</v>
      </c>
      <c r="D542" s="22">
        <v>32</v>
      </c>
      <c r="E542" s="22">
        <v>11894</v>
      </c>
      <c r="F542" s="10" t="s">
        <v>74</v>
      </c>
      <c r="G542" s="10" t="str">
        <f t="shared" si="3"/>
        <v>11894A</v>
      </c>
    </row>
    <row r="543" spans="1:7" x14ac:dyDescent="0.25">
      <c r="A543">
        <f>IF(AND(Sheet2!B543=Sheet1!B$19,Sheet2!C543=Sheet1!C$19,Sheet2!D543=Sheet1!D$19),1,0)</f>
        <v>0</v>
      </c>
      <c r="B543" s="10" t="s">
        <v>13</v>
      </c>
      <c r="C543" s="11">
        <v>1</v>
      </c>
      <c r="D543" s="22">
        <v>33</v>
      </c>
      <c r="E543" s="22">
        <v>11895</v>
      </c>
      <c r="F543" s="10" t="s">
        <v>74</v>
      </c>
      <c r="G543" s="10" t="str">
        <f t="shared" si="3"/>
        <v>11895A</v>
      </c>
    </row>
    <row r="544" spans="1:7" x14ac:dyDescent="0.25">
      <c r="A544">
        <f>IF(AND(Sheet2!B544=Sheet1!B$19,Sheet2!C544=Sheet1!C$19,Sheet2!D544=Sheet1!D$19),1,0)</f>
        <v>0</v>
      </c>
      <c r="B544" s="10" t="s">
        <v>13</v>
      </c>
      <c r="C544" s="11">
        <v>1</v>
      </c>
      <c r="D544" s="22">
        <v>34</v>
      </c>
      <c r="E544" s="22">
        <v>11896</v>
      </c>
      <c r="F544" s="10" t="s">
        <v>74</v>
      </c>
      <c r="G544" s="10" t="str">
        <f t="shared" si="3"/>
        <v>11896A</v>
      </c>
    </row>
    <row r="545" spans="1:7" x14ac:dyDescent="0.25">
      <c r="A545">
        <f>IF(AND(Sheet2!B545=Sheet1!B$19,Sheet2!C545=Sheet1!C$19,Sheet2!D545=Sheet1!D$19),1,0)</f>
        <v>0</v>
      </c>
      <c r="B545" s="10" t="s">
        <v>13</v>
      </c>
      <c r="C545" s="11">
        <v>1</v>
      </c>
      <c r="D545" s="22">
        <v>35</v>
      </c>
      <c r="E545" s="22">
        <v>11897</v>
      </c>
      <c r="F545" s="10" t="s">
        <v>74</v>
      </c>
      <c r="G545" s="10" t="str">
        <f t="shared" si="3"/>
        <v>11897A</v>
      </c>
    </row>
    <row r="546" spans="1:7" x14ac:dyDescent="0.25">
      <c r="A546">
        <f>IF(AND(Sheet2!B546=Sheet1!B$19,Sheet2!C546=Sheet1!C$19,Sheet2!D546=Sheet1!D$19),1,0)</f>
        <v>0</v>
      </c>
      <c r="B546" s="10" t="s">
        <v>13</v>
      </c>
      <c r="C546" s="11">
        <v>1</v>
      </c>
      <c r="D546" s="22">
        <v>36</v>
      </c>
      <c r="E546" s="22">
        <v>11898</v>
      </c>
      <c r="F546" s="10" t="s">
        <v>74</v>
      </c>
      <c r="G546" s="10" t="str">
        <f t="shared" si="3"/>
        <v>11898A</v>
      </c>
    </row>
    <row r="547" spans="1:7" x14ac:dyDescent="0.25">
      <c r="A547">
        <f>IF(AND(Sheet2!B547=Sheet1!B$19,Sheet2!C547=Sheet1!C$19,Sheet2!D547=Sheet1!D$19),1,0)</f>
        <v>0</v>
      </c>
      <c r="B547" s="10" t="s">
        <v>13</v>
      </c>
      <c r="C547" s="11">
        <v>1</v>
      </c>
      <c r="D547" s="22">
        <v>37</v>
      </c>
      <c r="E547" s="22">
        <v>11899</v>
      </c>
      <c r="F547" s="10" t="s">
        <v>74</v>
      </c>
      <c r="G547" s="10" t="str">
        <f t="shared" si="3"/>
        <v>11899A</v>
      </c>
    </row>
    <row r="548" spans="1:7" x14ac:dyDescent="0.25">
      <c r="A548">
        <f>IF(AND(Sheet2!B548=Sheet1!B$19,Sheet2!C548=Sheet1!C$19,Sheet2!D548=Sheet1!D$19),1,0)</f>
        <v>0</v>
      </c>
      <c r="B548" s="10" t="s">
        <v>13</v>
      </c>
      <c r="C548" s="11">
        <v>1</v>
      </c>
      <c r="D548" s="22">
        <v>38</v>
      </c>
      <c r="E548" s="22">
        <v>11900</v>
      </c>
      <c r="F548" s="10" t="s">
        <v>74</v>
      </c>
      <c r="G548" s="10" t="str">
        <f t="shared" si="3"/>
        <v>11900A</v>
      </c>
    </row>
    <row r="549" spans="1:7" x14ac:dyDescent="0.25">
      <c r="A549">
        <f>IF(AND(Sheet2!B549=Sheet1!B$19,Sheet2!C549=Sheet1!C$19,Sheet2!D549=Sheet1!D$19),1,0)</f>
        <v>0</v>
      </c>
      <c r="B549" s="10" t="s">
        <v>13</v>
      </c>
      <c r="C549" s="11">
        <v>1</v>
      </c>
      <c r="D549" s="22">
        <v>39</v>
      </c>
      <c r="E549" s="22">
        <v>11901</v>
      </c>
      <c r="F549" s="10" t="s">
        <v>74</v>
      </c>
      <c r="G549" s="10" t="str">
        <f t="shared" si="3"/>
        <v>11901A</v>
      </c>
    </row>
    <row r="550" spans="1:7" x14ac:dyDescent="0.25">
      <c r="A550">
        <f>IF(AND(Sheet2!B550=Sheet1!B$19,Sheet2!C550=Sheet1!C$19,Sheet2!D550=Sheet1!D$19),1,0)</f>
        <v>0</v>
      </c>
      <c r="B550" s="10" t="s">
        <v>13</v>
      </c>
      <c r="C550" s="11">
        <v>1</v>
      </c>
      <c r="D550" s="22">
        <v>40</v>
      </c>
      <c r="E550" s="22">
        <v>11902</v>
      </c>
      <c r="F550" s="10" t="s">
        <v>74</v>
      </c>
      <c r="G550" s="10" t="str">
        <f t="shared" si="3"/>
        <v>11902A</v>
      </c>
    </row>
    <row r="551" spans="1:7" x14ac:dyDescent="0.25">
      <c r="A551">
        <f>IF(AND(Sheet2!B551=Sheet1!B$19,Sheet2!C551=Sheet1!C$19,Sheet2!D551=Sheet1!D$19),1,0)</f>
        <v>0</v>
      </c>
      <c r="B551" s="10" t="s">
        <v>13</v>
      </c>
      <c r="C551" s="11">
        <v>1</v>
      </c>
      <c r="D551" s="22">
        <v>41</v>
      </c>
      <c r="E551" s="22">
        <v>11903</v>
      </c>
      <c r="F551" s="10" t="s">
        <v>74</v>
      </c>
      <c r="G551" s="10" t="str">
        <f t="shared" si="3"/>
        <v>11903A</v>
      </c>
    </row>
    <row r="552" spans="1:7" x14ac:dyDescent="0.25">
      <c r="A552">
        <f>IF(AND(Sheet2!B552=Sheet1!B$19,Sheet2!C552=Sheet1!C$19,Sheet2!D552=Sheet1!D$19),1,0)</f>
        <v>0</v>
      </c>
      <c r="B552" s="10" t="s">
        <v>13</v>
      </c>
      <c r="C552" s="11">
        <v>1</v>
      </c>
      <c r="D552" s="22">
        <v>42</v>
      </c>
      <c r="E552" s="22">
        <v>11904</v>
      </c>
      <c r="F552" s="10" t="s">
        <v>74</v>
      </c>
      <c r="G552" s="10" t="str">
        <f t="shared" si="3"/>
        <v>11904A</v>
      </c>
    </row>
    <row r="553" spans="1:7" x14ac:dyDescent="0.25">
      <c r="A553">
        <f>IF(AND(Sheet2!B553=Sheet1!B$19,Sheet2!C553=Sheet1!C$19,Sheet2!D553=Sheet1!D$19),1,0)</f>
        <v>0</v>
      </c>
      <c r="B553" s="10" t="s">
        <v>13</v>
      </c>
      <c r="C553" s="11">
        <v>1</v>
      </c>
      <c r="D553" s="22">
        <v>43</v>
      </c>
      <c r="E553" s="22">
        <v>11905</v>
      </c>
      <c r="F553" s="10" t="s">
        <v>74</v>
      </c>
      <c r="G553" s="10" t="str">
        <f t="shared" si="3"/>
        <v>11905A</v>
      </c>
    </row>
    <row r="554" spans="1:7" x14ac:dyDescent="0.25">
      <c r="A554">
        <f>IF(AND(Sheet2!B554=Sheet1!B$19,Sheet2!C554=Sheet1!C$19,Sheet2!D554=Sheet1!D$19),1,0)</f>
        <v>0</v>
      </c>
      <c r="B554" s="10" t="s">
        <v>13</v>
      </c>
      <c r="C554" s="11">
        <v>1</v>
      </c>
      <c r="D554" s="22">
        <v>44</v>
      </c>
      <c r="E554" s="22">
        <v>11906</v>
      </c>
      <c r="F554" s="10" t="s">
        <v>74</v>
      </c>
      <c r="G554" s="10" t="str">
        <f t="shared" si="3"/>
        <v>11906A</v>
      </c>
    </row>
    <row r="555" spans="1:7" x14ac:dyDescent="0.25">
      <c r="A555">
        <f>IF(AND(Sheet2!B555=Sheet1!B$19,Sheet2!C555=Sheet1!C$19,Sheet2!D555=Sheet1!D$19),1,0)</f>
        <v>0</v>
      </c>
      <c r="B555" s="10" t="s">
        <v>13</v>
      </c>
      <c r="C555" s="11">
        <v>1</v>
      </c>
      <c r="D555" s="22">
        <v>45</v>
      </c>
      <c r="E555" s="22">
        <v>11907</v>
      </c>
      <c r="F555" s="10" t="s">
        <v>74</v>
      </c>
      <c r="G555" s="10" t="str">
        <f t="shared" si="3"/>
        <v>11907A</v>
      </c>
    </row>
    <row r="556" spans="1:7" x14ac:dyDescent="0.25">
      <c r="A556">
        <f>IF(AND(Sheet2!B556=Sheet1!B$19,Sheet2!C556=Sheet1!C$19,Sheet2!D556=Sheet1!D$19),1,0)</f>
        <v>0</v>
      </c>
      <c r="B556" s="10" t="s">
        <v>13</v>
      </c>
      <c r="C556" s="11">
        <v>1</v>
      </c>
      <c r="D556" s="22">
        <v>46</v>
      </c>
      <c r="E556" s="22">
        <v>11908</v>
      </c>
      <c r="F556" s="10" t="s">
        <v>74</v>
      </c>
      <c r="G556" s="10" t="str">
        <f t="shared" si="3"/>
        <v>11908A</v>
      </c>
    </row>
    <row r="557" spans="1:7" x14ac:dyDescent="0.25">
      <c r="A557">
        <f>IF(AND(Sheet2!B557=Sheet1!B$19,Sheet2!C557=Sheet1!C$19,Sheet2!D557=Sheet1!D$19),1,0)</f>
        <v>0</v>
      </c>
      <c r="B557" s="10" t="s">
        <v>13</v>
      </c>
      <c r="C557" s="11">
        <v>1</v>
      </c>
      <c r="D557" s="22">
        <v>47</v>
      </c>
      <c r="E557" s="22">
        <v>11909</v>
      </c>
      <c r="F557" s="10" t="s">
        <v>74</v>
      </c>
      <c r="G557" s="10" t="str">
        <f t="shared" si="3"/>
        <v>11909A</v>
      </c>
    </row>
    <row r="558" spans="1:7" x14ac:dyDescent="0.25">
      <c r="A558">
        <f>IF(AND(Sheet2!B558=Sheet1!B$19,Sheet2!C558=Sheet1!C$19,Sheet2!D558=Sheet1!D$19),1,0)</f>
        <v>0</v>
      </c>
      <c r="B558" s="10" t="s">
        <v>13</v>
      </c>
      <c r="C558" s="11">
        <v>1</v>
      </c>
      <c r="D558" s="22">
        <v>48</v>
      </c>
      <c r="E558" s="22">
        <v>11910</v>
      </c>
      <c r="F558" s="10" t="s">
        <v>74</v>
      </c>
      <c r="G558" s="10" t="str">
        <f t="shared" si="3"/>
        <v>11910A</v>
      </c>
    </row>
    <row r="559" spans="1:7" x14ac:dyDescent="0.25">
      <c r="A559">
        <f>IF(AND(Sheet2!B559=Sheet1!B$19,Sheet2!C559=Sheet1!C$19,Sheet2!D559=Sheet1!D$19),1,0)</f>
        <v>0</v>
      </c>
      <c r="B559" s="10" t="s">
        <v>13</v>
      </c>
      <c r="C559" s="11">
        <v>1</v>
      </c>
      <c r="D559" s="22">
        <v>49</v>
      </c>
      <c r="E559" s="22">
        <v>11911</v>
      </c>
      <c r="F559" s="10" t="s">
        <v>74</v>
      </c>
      <c r="G559" s="10" t="str">
        <f t="shared" si="3"/>
        <v>11911A</v>
      </c>
    </row>
    <row r="560" spans="1:7" x14ac:dyDescent="0.25">
      <c r="A560">
        <f>IF(AND(Sheet2!B560=Sheet1!B$19,Sheet2!C560=Sheet1!C$19,Sheet2!D560=Sheet1!D$19),1,0)</f>
        <v>0</v>
      </c>
      <c r="B560" s="10" t="s">
        <v>13</v>
      </c>
      <c r="C560" s="11">
        <v>1</v>
      </c>
      <c r="D560" s="22">
        <v>50</v>
      </c>
      <c r="E560" s="22">
        <v>11912</v>
      </c>
      <c r="F560" s="10" t="s">
        <v>74</v>
      </c>
      <c r="G560" s="10" t="str">
        <f t="shared" si="3"/>
        <v>11912A</v>
      </c>
    </row>
    <row r="561" spans="1:7" x14ac:dyDescent="0.25">
      <c r="A561">
        <f>IF(AND(Sheet2!B561=Sheet1!B$19,Sheet2!C561=Sheet1!C$19,Sheet2!D561=Sheet1!D$19),1,0)</f>
        <v>0</v>
      </c>
      <c r="B561" s="10" t="s">
        <v>13</v>
      </c>
      <c r="C561" s="11">
        <v>1</v>
      </c>
      <c r="D561" s="22">
        <v>51</v>
      </c>
      <c r="E561" s="22">
        <v>11913</v>
      </c>
      <c r="F561" s="10" t="s">
        <v>74</v>
      </c>
      <c r="G561" s="10" t="str">
        <f t="shared" si="3"/>
        <v>11913A</v>
      </c>
    </row>
    <row r="562" spans="1:7" x14ac:dyDescent="0.25">
      <c r="A562">
        <f>IF(AND(Sheet2!B562=Sheet1!B$19,Sheet2!C562=Sheet1!C$19,Sheet2!D562=Sheet1!D$19),1,0)</f>
        <v>0</v>
      </c>
      <c r="B562" s="10" t="s">
        <v>13</v>
      </c>
      <c r="C562" s="11">
        <v>1</v>
      </c>
      <c r="D562" s="22">
        <v>52</v>
      </c>
      <c r="E562" s="22">
        <v>11914</v>
      </c>
      <c r="F562" s="10" t="s">
        <v>74</v>
      </c>
      <c r="G562" s="10" t="str">
        <f t="shared" si="3"/>
        <v>11914A</v>
      </c>
    </row>
    <row r="563" spans="1:7" x14ac:dyDescent="0.25">
      <c r="A563">
        <f>IF(AND(Sheet2!B563=Sheet1!B$19,Sheet2!C563=Sheet1!C$19,Sheet2!D563=Sheet1!D$19),1,0)</f>
        <v>0</v>
      </c>
      <c r="B563" s="10" t="s">
        <v>13</v>
      </c>
      <c r="C563" s="11">
        <v>1</v>
      </c>
      <c r="D563" s="22">
        <v>53</v>
      </c>
      <c r="E563" s="22">
        <v>11915</v>
      </c>
      <c r="F563" s="10" t="s">
        <v>74</v>
      </c>
      <c r="G563" s="10" t="str">
        <f t="shared" si="3"/>
        <v>11915A</v>
      </c>
    </row>
    <row r="564" spans="1:7" x14ac:dyDescent="0.25">
      <c r="A564">
        <f>IF(AND(Sheet2!B564=Sheet1!B$19,Sheet2!C564=Sheet1!C$19,Sheet2!D564=Sheet1!D$19),1,0)</f>
        <v>0</v>
      </c>
      <c r="B564" s="10" t="s">
        <v>13</v>
      </c>
      <c r="C564" s="11">
        <v>1</v>
      </c>
      <c r="D564" s="22">
        <v>54</v>
      </c>
      <c r="E564" s="22">
        <v>11916</v>
      </c>
      <c r="F564" s="10" t="s">
        <v>74</v>
      </c>
      <c r="G564" s="10" t="str">
        <f t="shared" si="3"/>
        <v>11916A</v>
      </c>
    </row>
    <row r="565" spans="1:7" x14ac:dyDescent="0.25">
      <c r="A565">
        <f>IF(AND(Sheet2!B565=Sheet1!B$19,Sheet2!C565=Sheet1!C$19,Sheet2!D565=Sheet1!D$19),1,0)</f>
        <v>0</v>
      </c>
      <c r="B565" s="10" t="s">
        <v>13</v>
      </c>
      <c r="C565" s="11">
        <v>1</v>
      </c>
      <c r="D565" s="22">
        <v>55</v>
      </c>
      <c r="E565" s="22">
        <v>11917</v>
      </c>
      <c r="F565" s="10" t="s">
        <v>74</v>
      </c>
      <c r="G565" s="10" t="str">
        <f t="shared" si="3"/>
        <v>11917A</v>
      </c>
    </row>
    <row r="566" spans="1:7" x14ac:dyDescent="0.25">
      <c r="A566">
        <f>IF(AND(Sheet2!B566=Sheet1!B$19,Sheet2!C566=Sheet1!C$19,Sheet2!D566=Sheet1!D$19),1,0)</f>
        <v>0</v>
      </c>
      <c r="B566" s="10" t="s">
        <v>13</v>
      </c>
      <c r="C566" s="11">
        <v>1</v>
      </c>
      <c r="D566" s="22">
        <v>56</v>
      </c>
      <c r="E566" s="22">
        <v>11918</v>
      </c>
      <c r="F566" s="10" t="s">
        <v>74</v>
      </c>
      <c r="G566" s="10" t="str">
        <f t="shared" si="3"/>
        <v>11918A</v>
      </c>
    </row>
    <row r="567" spans="1:7" x14ac:dyDescent="0.25">
      <c r="A567">
        <f>IF(AND(Sheet2!B567=Sheet1!B$19,Sheet2!C567=Sheet1!C$19,Sheet2!D567=Sheet1!D$19),1,0)</f>
        <v>0</v>
      </c>
      <c r="B567" s="10" t="s">
        <v>13</v>
      </c>
      <c r="C567" s="11">
        <v>1</v>
      </c>
      <c r="D567" s="22">
        <v>57</v>
      </c>
      <c r="E567" s="22">
        <v>11919</v>
      </c>
      <c r="F567" s="10" t="s">
        <v>74</v>
      </c>
      <c r="G567" s="10" t="str">
        <f t="shared" si="3"/>
        <v>11919A</v>
      </c>
    </row>
    <row r="568" spans="1:7" x14ac:dyDescent="0.25">
      <c r="A568">
        <f>IF(AND(Sheet2!B568=Sheet1!B$19,Sheet2!C568=Sheet1!C$19,Sheet2!D568=Sheet1!D$19),1,0)</f>
        <v>0</v>
      </c>
      <c r="B568" s="10" t="s">
        <v>13</v>
      </c>
      <c r="C568" s="11">
        <v>1</v>
      </c>
      <c r="D568" s="22">
        <v>58</v>
      </c>
      <c r="E568" s="22">
        <v>11920</v>
      </c>
      <c r="F568" s="10" t="s">
        <v>74</v>
      </c>
      <c r="G568" s="10" t="str">
        <f t="shared" si="3"/>
        <v>11920A</v>
      </c>
    </row>
    <row r="569" spans="1:7" x14ac:dyDescent="0.25">
      <c r="A569">
        <f>IF(AND(Sheet2!B569=Sheet1!B$19,Sheet2!C569=Sheet1!C$19,Sheet2!D569=Sheet1!D$19),1,0)</f>
        <v>0</v>
      </c>
      <c r="B569" s="10" t="s">
        <v>13</v>
      </c>
      <c r="C569" s="11">
        <v>1</v>
      </c>
      <c r="D569" s="22">
        <v>59</v>
      </c>
      <c r="E569" s="22">
        <v>11921</v>
      </c>
      <c r="F569" s="10" t="s">
        <v>74</v>
      </c>
      <c r="G569" s="10" t="str">
        <f t="shared" si="3"/>
        <v>11921A</v>
      </c>
    </row>
    <row r="570" spans="1:7" x14ac:dyDescent="0.25">
      <c r="A570">
        <f>IF(AND(Sheet2!B570=Sheet1!B$19,Sheet2!C570=Sheet1!C$19,Sheet2!D570=Sheet1!D$19),1,0)</f>
        <v>0</v>
      </c>
      <c r="B570" s="10" t="s">
        <v>13</v>
      </c>
      <c r="C570" s="11">
        <v>1</v>
      </c>
      <c r="D570" s="22">
        <v>60</v>
      </c>
      <c r="E570" s="22">
        <v>11922</v>
      </c>
      <c r="F570" s="10" t="s">
        <v>74</v>
      </c>
      <c r="G570" s="10" t="str">
        <f t="shared" si="3"/>
        <v>11922A</v>
      </c>
    </row>
    <row r="571" spans="1:7" x14ac:dyDescent="0.25">
      <c r="A571">
        <f>IF(AND(Sheet2!B571=Sheet1!B$19,Sheet2!C571=Sheet1!C$19,Sheet2!D571=Sheet1!D$19),1,0)</f>
        <v>0</v>
      </c>
      <c r="B571" s="10" t="s">
        <v>215</v>
      </c>
      <c r="C571" s="11">
        <v>0.25</v>
      </c>
      <c r="D571" s="22">
        <v>2</v>
      </c>
      <c r="E571" s="22">
        <v>11135</v>
      </c>
      <c r="F571" s="10" t="s">
        <v>74</v>
      </c>
      <c r="G571" s="10" t="str">
        <f t="shared" si="3"/>
        <v>11135A</v>
      </c>
    </row>
    <row r="572" spans="1:7" x14ac:dyDescent="0.25">
      <c r="A572">
        <f>IF(AND(Sheet2!B572=Sheet1!B$19,Sheet2!C572=Sheet1!C$19,Sheet2!D572=Sheet1!D$19),1,0)</f>
        <v>0</v>
      </c>
      <c r="B572" s="10" t="s">
        <v>215</v>
      </c>
      <c r="C572" s="11">
        <v>0.25</v>
      </c>
      <c r="D572" s="22">
        <v>3</v>
      </c>
      <c r="E572" s="22">
        <v>11136</v>
      </c>
      <c r="F572" s="10" t="s">
        <v>74</v>
      </c>
      <c r="G572" s="10" t="str">
        <f t="shared" si="3"/>
        <v>11136A</v>
      </c>
    </row>
    <row r="573" spans="1:7" x14ac:dyDescent="0.25">
      <c r="A573">
        <f>IF(AND(Sheet2!B573=Sheet1!B$19,Sheet2!C573=Sheet1!C$19,Sheet2!D573=Sheet1!D$19),1,0)</f>
        <v>0</v>
      </c>
      <c r="B573" s="10" t="s">
        <v>215</v>
      </c>
      <c r="C573" s="11">
        <v>0.25</v>
      </c>
      <c r="D573" s="22">
        <v>4</v>
      </c>
      <c r="E573" s="22">
        <v>11137</v>
      </c>
      <c r="F573" s="10" t="s">
        <v>74</v>
      </c>
      <c r="G573" s="10" t="str">
        <f t="shared" si="3"/>
        <v>11137A</v>
      </c>
    </row>
    <row r="574" spans="1:7" x14ac:dyDescent="0.25">
      <c r="A574">
        <f>IF(AND(Sheet2!B574=Sheet1!B$19,Sheet2!C574=Sheet1!C$19,Sheet2!D574=Sheet1!D$19),1,0)</f>
        <v>0</v>
      </c>
      <c r="B574" s="10" t="s">
        <v>215</v>
      </c>
      <c r="C574" s="11">
        <v>0.25</v>
      </c>
      <c r="D574" s="22">
        <v>5</v>
      </c>
      <c r="E574" s="22">
        <v>11138</v>
      </c>
      <c r="F574" s="10" t="s">
        <v>74</v>
      </c>
      <c r="G574" s="10" t="str">
        <f t="shared" si="3"/>
        <v>11138A</v>
      </c>
    </row>
    <row r="575" spans="1:7" x14ac:dyDescent="0.25">
      <c r="A575">
        <f>IF(AND(Sheet2!B575=Sheet1!B$19,Sheet2!C575=Sheet1!C$19,Sheet2!D575=Sheet1!D$19),1,0)</f>
        <v>0</v>
      </c>
      <c r="B575" s="10" t="s">
        <v>215</v>
      </c>
      <c r="C575" s="11">
        <v>0.25</v>
      </c>
      <c r="D575" s="22">
        <v>6</v>
      </c>
      <c r="E575" s="22">
        <v>11139</v>
      </c>
      <c r="F575" s="10" t="s">
        <v>74</v>
      </c>
      <c r="G575" s="10" t="str">
        <f t="shared" si="3"/>
        <v>11139A</v>
      </c>
    </row>
    <row r="576" spans="1:7" x14ac:dyDescent="0.25">
      <c r="A576">
        <f>IF(AND(Sheet2!B576=Sheet1!B$19,Sheet2!C576=Sheet1!C$19,Sheet2!D576=Sheet1!D$19),1,0)</f>
        <v>0</v>
      </c>
      <c r="B576" s="10" t="s">
        <v>215</v>
      </c>
      <c r="C576" s="11">
        <v>0.25</v>
      </c>
      <c r="D576" s="22">
        <v>7</v>
      </c>
      <c r="E576" s="22">
        <v>11140</v>
      </c>
      <c r="F576" s="10" t="s">
        <v>74</v>
      </c>
      <c r="G576" s="10" t="str">
        <f t="shared" si="3"/>
        <v>11140A</v>
      </c>
    </row>
    <row r="577" spans="1:7" x14ac:dyDescent="0.25">
      <c r="A577">
        <f>IF(AND(Sheet2!B577=Sheet1!B$19,Sheet2!C577=Sheet1!C$19,Sheet2!D577=Sheet1!D$19),1,0)</f>
        <v>0</v>
      </c>
      <c r="B577" s="10" t="s">
        <v>215</v>
      </c>
      <c r="C577" s="11">
        <v>0.25</v>
      </c>
      <c r="D577" s="22">
        <v>8</v>
      </c>
      <c r="E577" s="22">
        <v>11141</v>
      </c>
      <c r="F577" s="10" t="s">
        <v>74</v>
      </c>
      <c r="G577" s="10" t="str">
        <f t="shared" si="3"/>
        <v>11141A</v>
      </c>
    </row>
    <row r="578" spans="1:7" x14ac:dyDescent="0.25">
      <c r="A578">
        <f>IF(AND(Sheet2!B578=Sheet1!B$19,Sheet2!C578=Sheet1!C$19,Sheet2!D578=Sheet1!D$19),1,0)</f>
        <v>0</v>
      </c>
      <c r="B578" s="10" t="s">
        <v>215</v>
      </c>
      <c r="C578" s="11">
        <v>0.25</v>
      </c>
      <c r="D578" s="22">
        <v>9</v>
      </c>
      <c r="E578" s="22">
        <v>11142</v>
      </c>
      <c r="F578" s="10" t="s">
        <v>74</v>
      </c>
      <c r="G578" s="10" t="str">
        <f t="shared" si="3"/>
        <v>11142A</v>
      </c>
    </row>
    <row r="579" spans="1:7" x14ac:dyDescent="0.25">
      <c r="A579">
        <f>IF(AND(Sheet2!B579=Sheet1!B$19,Sheet2!C579=Sheet1!C$19,Sheet2!D579=Sheet1!D$19),1,0)</f>
        <v>0</v>
      </c>
      <c r="B579" s="10" t="s">
        <v>215</v>
      </c>
      <c r="C579" s="11">
        <v>0.25</v>
      </c>
      <c r="D579" s="22">
        <v>10</v>
      </c>
      <c r="E579" s="22">
        <v>11143</v>
      </c>
      <c r="F579" s="10" t="s">
        <v>74</v>
      </c>
      <c r="G579" s="10" t="str">
        <f t="shared" ref="G579:G833" si="4">CONCATENATE(E579,F579)</f>
        <v>11143A</v>
      </c>
    </row>
    <row r="580" spans="1:7" x14ac:dyDescent="0.25">
      <c r="A580">
        <f>IF(AND(Sheet2!B580=Sheet1!B$19,Sheet2!C580=Sheet1!C$19,Sheet2!D580=Sheet1!D$19),1,0)</f>
        <v>0</v>
      </c>
      <c r="B580" s="10" t="s">
        <v>215</v>
      </c>
      <c r="C580" s="11">
        <v>0.25</v>
      </c>
      <c r="D580" s="22">
        <v>11</v>
      </c>
      <c r="E580" s="22">
        <v>11144</v>
      </c>
      <c r="F580" s="10" t="s">
        <v>74</v>
      </c>
      <c r="G580" s="10" t="str">
        <f t="shared" si="4"/>
        <v>11144A</v>
      </c>
    </row>
    <row r="581" spans="1:7" x14ac:dyDescent="0.25">
      <c r="A581">
        <f>IF(AND(Sheet2!B581=Sheet1!B$19,Sheet2!C581=Sheet1!C$19,Sheet2!D581=Sheet1!D$19),1,0)</f>
        <v>0</v>
      </c>
      <c r="B581" s="10" t="s">
        <v>215</v>
      </c>
      <c r="C581" s="11">
        <v>0.25</v>
      </c>
      <c r="D581" s="22">
        <v>12</v>
      </c>
      <c r="E581" s="22">
        <v>11145</v>
      </c>
      <c r="F581" s="10" t="s">
        <v>74</v>
      </c>
      <c r="G581" s="10" t="str">
        <f t="shared" si="4"/>
        <v>11145A</v>
      </c>
    </row>
    <row r="582" spans="1:7" x14ac:dyDescent="0.25">
      <c r="A582">
        <f>IF(AND(Sheet2!B582=Sheet1!B$19,Sheet2!C582=Sheet1!C$19,Sheet2!D582=Sheet1!D$19),1,0)</f>
        <v>0</v>
      </c>
      <c r="B582" s="10" t="s">
        <v>215</v>
      </c>
      <c r="C582" s="11">
        <v>0.25</v>
      </c>
      <c r="D582" s="22">
        <v>13</v>
      </c>
      <c r="E582" s="22">
        <v>11146</v>
      </c>
      <c r="F582" s="10" t="s">
        <v>74</v>
      </c>
      <c r="G582" s="10" t="str">
        <f t="shared" si="4"/>
        <v>11146A</v>
      </c>
    </row>
    <row r="583" spans="1:7" x14ac:dyDescent="0.25">
      <c r="A583">
        <f>IF(AND(Sheet2!B583=Sheet1!B$19,Sheet2!C583=Sheet1!C$19,Sheet2!D583=Sheet1!D$19),1,0)</f>
        <v>0</v>
      </c>
      <c r="B583" s="10" t="s">
        <v>215</v>
      </c>
      <c r="C583" s="11">
        <v>0.25</v>
      </c>
      <c r="D583" s="22">
        <v>14</v>
      </c>
      <c r="E583" s="22">
        <v>11147</v>
      </c>
      <c r="F583" s="10" t="s">
        <v>74</v>
      </c>
      <c r="G583" s="10" t="str">
        <f t="shared" si="4"/>
        <v>11147A</v>
      </c>
    </row>
    <row r="584" spans="1:7" x14ac:dyDescent="0.25">
      <c r="A584">
        <f>IF(AND(Sheet2!B584=Sheet1!B$19,Sheet2!C584=Sheet1!C$19,Sheet2!D584=Sheet1!D$19),1,0)</f>
        <v>0</v>
      </c>
      <c r="B584" s="10" t="s">
        <v>215</v>
      </c>
      <c r="C584" s="11">
        <v>0.25</v>
      </c>
      <c r="D584" s="22">
        <v>15</v>
      </c>
      <c r="E584" s="22">
        <v>11148</v>
      </c>
      <c r="F584" s="10" t="s">
        <v>74</v>
      </c>
      <c r="G584" s="10" t="str">
        <f t="shared" si="4"/>
        <v>11148A</v>
      </c>
    </row>
    <row r="585" spans="1:7" x14ac:dyDescent="0.25">
      <c r="A585">
        <f>IF(AND(Sheet2!B585=Sheet1!B$19,Sheet2!C585=Sheet1!C$19,Sheet2!D585=Sheet1!D$19),1,0)</f>
        <v>0</v>
      </c>
      <c r="B585" s="10" t="s">
        <v>215</v>
      </c>
      <c r="C585" s="11">
        <v>0.25</v>
      </c>
      <c r="D585" s="22">
        <v>16</v>
      </c>
      <c r="E585" s="22">
        <v>11149</v>
      </c>
      <c r="F585" s="10" t="s">
        <v>74</v>
      </c>
      <c r="G585" s="10" t="str">
        <f t="shared" si="4"/>
        <v>11149A</v>
      </c>
    </row>
    <row r="586" spans="1:7" x14ac:dyDescent="0.25">
      <c r="A586">
        <f>IF(AND(Sheet2!B586=Sheet1!B$19,Sheet2!C586=Sheet1!C$19,Sheet2!D586=Sheet1!D$19),1,0)</f>
        <v>0</v>
      </c>
      <c r="B586" s="10" t="s">
        <v>215</v>
      </c>
      <c r="C586" s="11">
        <v>0.25</v>
      </c>
      <c r="D586" s="22">
        <v>17</v>
      </c>
      <c r="E586" s="22">
        <v>11150</v>
      </c>
      <c r="F586" s="10" t="s">
        <v>74</v>
      </c>
      <c r="G586" s="10" t="str">
        <f t="shared" si="4"/>
        <v>11150A</v>
      </c>
    </row>
    <row r="587" spans="1:7" x14ac:dyDescent="0.25">
      <c r="A587">
        <f>IF(AND(Sheet2!B587=Sheet1!B$19,Sheet2!C587=Sheet1!C$19,Sheet2!D587=Sheet1!D$19),1,0)</f>
        <v>0</v>
      </c>
      <c r="B587" s="10" t="s">
        <v>215</v>
      </c>
      <c r="C587" s="11">
        <v>0.25</v>
      </c>
      <c r="D587" s="22">
        <v>18</v>
      </c>
      <c r="E587" s="22">
        <v>11151</v>
      </c>
      <c r="F587" s="10" t="s">
        <v>74</v>
      </c>
      <c r="G587" s="10" t="str">
        <f t="shared" si="4"/>
        <v>11151A</v>
      </c>
    </row>
    <row r="588" spans="1:7" x14ac:dyDescent="0.25">
      <c r="A588">
        <f>IF(AND(Sheet2!B588=Sheet1!B$19,Sheet2!C588=Sheet1!C$19,Sheet2!D588=Sheet1!D$19),1,0)</f>
        <v>0</v>
      </c>
      <c r="B588" s="10" t="s">
        <v>215</v>
      </c>
      <c r="C588" s="11">
        <v>0.25</v>
      </c>
      <c r="D588" s="22">
        <v>19</v>
      </c>
      <c r="E588" s="22">
        <v>11152</v>
      </c>
      <c r="F588" s="10" t="s">
        <v>74</v>
      </c>
      <c r="G588" s="10" t="str">
        <f t="shared" si="4"/>
        <v>11152A</v>
      </c>
    </row>
    <row r="589" spans="1:7" x14ac:dyDescent="0.25">
      <c r="A589">
        <f>IF(AND(Sheet2!B589=Sheet1!B$19,Sheet2!C589=Sheet1!C$19,Sheet2!D589=Sheet1!D$19),1,0)</f>
        <v>0</v>
      </c>
      <c r="B589" s="10" t="s">
        <v>215</v>
      </c>
      <c r="C589" s="11">
        <v>0.25</v>
      </c>
      <c r="D589" s="22">
        <v>20</v>
      </c>
      <c r="E589" s="22">
        <v>11153</v>
      </c>
      <c r="F589" s="10" t="s">
        <v>74</v>
      </c>
      <c r="G589" s="10" t="str">
        <f t="shared" si="4"/>
        <v>11153A</v>
      </c>
    </row>
    <row r="590" spans="1:7" x14ac:dyDescent="0.25">
      <c r="A590">
        <f>IF(AND(Sheet2!B590=Sheet1!B$19,Sheet2!C590=Sheet1!C$19,Sheet2!D590=Sheet1!D$19),1,0)</f>
        <v>0</v>
      </c>
      <c r="B590" s="10" t="s">
        <v>215</v>
      </c>
      <c r="C590" s="11">
        <v>0.25</v>
      </c>
      <c r="D590" s="22">
        <v>21</v>
      </c>
      <c r="E590" s="22">
        <v>11466</v>
      </c>
      <c r="F590" s="10" t="s">
        <v>74</v>
      </c>
      <c r="G590" s="10" t="str">
        <f t="shared" si="4"/>
        <v>11466A</v>
      </c>
    </row>
    <row r="591" spans="1:7" x14ac:dyDescent="0.25">
      <c r="A591">
        <f>IF(AND(Sheet2!B591=Sheet1!B$19,Sheet2!C591=Sheet1!C$19,Sheet2!D591=Sheet1!D$19),1,0)</f>
        <v>0</v>
      </c>
      <c r="B591" s="10" t="s">
        <v>215</v>
      </c>
      <c r="C591" s="11">
        <v>0.25</v>
      </c>
      <c r="D591" s="22">
        <v>22</v>
      </c>
      <c r="E591" s="22">
        <v>11467</v>
      </c>
      <c r="F591" s="10" t="s">
        <v>74</v>
      </c>
      <c r="G591" s="10" t="str">
        <f t="shared" si="4"/>
        <v>11467A</v>
      </c>
    </row>
    <row r="592" spans="1:7" x14ac:dyDescent="0.25">
      <c r="A592">
        <f>IF(AND(Sheet2!B592=Sheet1!B$19,Sheet2!C592=Sheet1!C$19,Sheet2!D592=Sheet1!D$19),1,0)</f>
        <v>0</v>
      </c>
      <c r="B592" s="10" t="s">
        <v>215</v>
      </c>
      <c r="C592" s="11">
        <v>0.25</v>
      </c>
      <c r="D592" s="22">
        <v>23</v>
      </c>
      <c r="E592" s="22">
        <v>11468</v>
      </c>
      <c r="F592" s="10" t="s">
        <v>74</v>
      </c>
      <c r="G592" s="10" t="str">
        <f t="shared" si="4"/>
        <v>11468A</v>
      </c>
    </row>
    <row r="593" spans="1:7" x14ac:dyDescent="0.25">
      <c r="A593">
        <f>IF(AND(Sheet2!B593=Sheet1!B$19,Sheet2!C593=Sheet1!C$19,Sheet2!D593=Sheet1!D$19),1,0)</f>
        <v>0</v>
      </c>
      <c r="B593" s="10" t="s">
        <v>215</v>
      </c>
      <c r="C593" s="11">
        <v>0.25</v>
      </c>
      <c r="D593" s="22">
        <v>24</v>
      </c>
      <c r="E593" s="22">
        <v>11469</v>
      </c>
      <c r="F593" s="10" t="s">
        <v>74</v>
      </c>
      <c r="G593" s="10" t="str">
        <f t="shared" si="4"/>
        <v>11469A</v>
      </c>
    </row>
    <row r="594" spans="1:7" x14ac:dyDescent="0.25">
      <c r="A594">
        <f>IF(AND(Sheet2!B594=Sheet1!B$19,Sheet2!C594=Sheet1!C$19,Sheet2!D594=Sheet1!D$19),1,0)</f>
        <v>0</v>
      </c>
      <c r="B594" s="10" t="s">
        <v>215</v>
      </c>
      <c r="C594" s="11">
        <v>0.25</v>
      </c>
      <c r="D594" s="22">
        <v>25</v>
      </c>
      <c r="E594" s="22">
        <v>11470</v>
      </c>
      <c r="F594" s="10" t="s">
        <v>74</v>
      </c>
      <c r="G594" s="10" t="str">
        <f t="shared" si="4"/>
        <v>11470A</v>
      </c>
    </row>
    <row r="595" spans="1:7" x14ac:dyDescent="0.25">
      <c r="A595">
        <f>IF(AND(Sheet2!B595=Sheet1!B$19,Sheet2!C595=Sheet1!C$19,Sheet2!D595=Sheet1!D$19),1,0)</f>
        <v>0</v>
      </c>
      <c r="B595" s="10" t="s">
        <v>215</v>
      </c>
      <c r="C595" s="11">
        <v>0.25</v>
      </c>
      <c r="D595" s="22">
        <v>26</v>
      </c>
      <c r="E595" s="22">
        <v>11471</v>
      </c>
      <c r="F595" s="10" t="s">
        <v>74</v>
      </c>
      <c r="G595" s="10" t="str">
        <f t="shared" si="4"/>
        <v>11471A</v>
      </c>
    </row>
    <row r="596" spans="1:7" x14ac:dyDescent="0.25">
      <c r="A596">
        <f>IF(AND(Sheet2!B596=Sheet1!B$19,Sheet2!C596=Sheet1!C$19,Sheet2!D596=Sheet1!D$19),1,0)</f>
        <v>0</v>
      </c>
      <c r="B596" s="10" t="s">
        <v>215</v>
      </c>
      <c r="C596" s="11">
        <v>0.25</v>
      </c>
      <c r="D596" s="22">
        <v>27</v>
      </c>
      <c r="E596" s="22">
        <v>11472</v>
      </c>
      <c r="F596" s="10" t="s">
        <v>74</v>
      </c>
      <c r="G596" s="10" t="str">
        <f t="shared" si="4"/>
        <v>11472A</v>
      </c>
    </row>
    <row r="597" spans="1:7" x14ac:dyDescent="0.25">
      <c r="A597">
        <f>IF(AND(Sheet2!B597=Sheet1!B$19,Sheet2!C597=Sheet1!C$19,Sheet2!D597=Sheet1!D$19),1,0)</f>
        <v>0</v>
      </c>
      <c r="B597" s="10" t="s">
        <v>215</v>
      </c>
      <c r="C597" s="11">
        <v>0.25</v>
      </c>
      <c r="D597" s="22">
        <v>28</v>
      </c>
      <c r="E597" s="22">
        <v>11473</v>
      </c>
      <c r="F597" s="10" t="s">
        <v>74</v>
      </c>
      <c r="G597" s="10" t="str">
        <f t="shared" si="4"/>
        <v>11473A</v>
      </c>
    </row>
    <row r="598" spans="1:7" x14ac:dyDescent="0.25">
      <c r="A598">
        <f>IF(AND(Sheet2!B598=Sheet1!B$19,Sheet2!C598=Sheet1!C$19,Sheet2!D598=Sheet1!D$19),1,0)</f>
        <v>0</v>
      </c>
      <c r="B598" s="10" t="s">
        <v>215</v>
      </c>
      <c r="C598" s="11">
        <v>0.25</v>
      </c>
      <c r="D598" s="22">
        <v>29</v>
      </c>
      <c r="E598" s="22">
        <v>11474</v>
      </c>
      <c r="F598" s="10" t="s">
        <v>74</v>
      </c>
      <c r="G598" s="10" t="str">
        <f t="shared" si="4"/>
        <v>11474A</v>
      </c>
    </row>
    <row r="599" spans="1:7" x14ac:dyDescent="0.25">
      <c r="A599">
        <f>IF(AND(Sheet2!B599=Sheet1!B$19,Sheet2!C599=Sheet1!C$19,Sheet2!D599=Sheet1!D$19),1,0)</f>
        <v>0</v>
      </c>
      <c r="B599" s="10" t="s">
        <v>215</v>
      </c>
      <c r="C599" s="11">
        <v>0.25</v>
      </c>
      <c r="D599" s="22">
        <v>30</v>
      </c>
      <c r="E599" s="22">
        <v>11475</v>
      </c>
      <c r="F599" s="10" t="s">
        <v>74</v>
      </c>
      <c r="G599" s="10" t="str">
        <f t="shared" si="4"/>
        <v>11475A</v>
      </c>
    </row>
    <row r="600" spans="1:7" x14ac:dyDescent="0.25">
      <c r="A600">
        <f>IF(AND(Sheet2!B600=Sheet1!B$19,Sheet2!C600=Sheet1!C$19,Sheet2!D600=Sheet1!D$19),1,0)</f>
        <v>0</v>
      </c>
      <c r="B600" s="10" t="s">
        <v>215</v>
      </c>
      <c r="C600" s="11">
        <v>0.25</v>
      </c>
      <c r="D600" s="22">
        <v>31</v>
      </c>
      <c r="E600" s="22">
        <v>11476</v>
      </c>
      <c r="F600" s="10" t="s">
        <v>74</v>
      </c>
      <c r="G600" s="10" t="str">
        <f t="shared" si="4"/>
        <v>11476A</v>
      </c>
    </row>
    <row r="601" spans="1:7" x14ac:dyDescent="0.25">
      <c r="A601">
        <f>IF(AND(Sheet2!B601=Sheet1!B$19,Sheet2!C601=Sheet1!C$19,Sheet2!D601=Sheet1!D$19),1,0)</f>
        <v>0</v>
      </c>
      <c r="B601" s="10" t="s">
        <v>215</v>
      </c>
      <c r="C601" s="11">
        <v>0.25</v>
      </c>
      <c r="D601" s="22">
        <v>32</v>
      </c>
      <c r="E601" s="22">
        <v>11477</v>
      </c>
      <c r="F601" s="10" t="s">
        <v>74</v>
      </c>
      <c r="G601" s="10" t="str">
        <f t="shared" si="4"/>
        <v>11477A</v>
      </c>
    </row>
    <row r="602" spans="1:7" x14ac:dyDescent="0.25">
      <c r="A602">
        <f>IF(AND(Sheet2!B602=Sheet1!B$19,Sheet2!C602=Sheet1!C$19,Sheet2!D602=Sheet1!D$19),1,0)</f>
        <v>0</v>
      </c>
      <c r="B602" s="10" t="s">
        <v>215</v>
      </c>
      <c r="C602" s="11">
        <v>0.25</v>
      </c>
      <c r="D602" s="22">
        <v>33</v>
      </c>
      <c r="E602" s="22">
        <v>11478</v>
      </c>
      <c r="F602" s="10" t="s">
        <v>74</v>
      </c>
      <c r="G602" s="10" t="str">
        <f t="shared" si="4"/>
        <v>11478A</v>
      </c>
    </row>
    <row r="603" spans="1:7" x14ac:dyDescent="0.25">
      <c r="A603">
        <f>IF(AND(Sheet2!B603=Sheet1!B$19,Sheet2!C603=Sheet1!C$19,Sheet2!D603=Sheet1!D$19),1,0)</f>
        <v>0</v>
      </c>
      <c r="B603" s="10" t="s">
        <v>215</v>
      </c>
      <c r="C603" s="11">
        <v>0.25</v>
      </c>
      <c r="D603" s="22">
        <v>34</v>
      </c>
      <c r="E603" s="22">
        <v>11479</v>
      </c>
      <c r="F603" s="10" t="s">
        <v>74</v>
      </c>
      <c r="G603" s="10" t="str">
        <f t="shared" si="4"/>
        <v>11479A</v>
      </c>
    </row>
    <row r="604" spans="1:7" x14ac:dyDescent="0.25">
      <c r="A604">
        <f>IF(AND(Sheet2!B604=Sheet1!B$19,Sheet2!C604=Sheet1!C$19,Sheet2!D604=Sheet1!D$19),1,0)</f>
        <v>0</v>
      </c>
      <c r="B604" s="10" t="s">
        <v>215</v>
      </c>
      <c r="C604" s="11">
        <v>0.25</v>
      </c>
      <c r="D604" s="22">
        <v>35</v>
      </c>
      <c r="E604" s="22">
        <v>11480</v>
      </c>
      <c r="F604" s="10" t="s">
        <v>74</v>
      </c>
      <c r="G604" s="10" t="str">
        <f t="shared" si="4"/>
        <v>11480A</v>
      </c>
    </row>
    <row r="605" spans="1:7" x14ac:dyDescent="0.25">
      <c r="A605">
        <f>IF(AND(Sheet2!B605=Sheet1!B$19,Sheet2!C605=Sheet1!C$19,Sheet2!D605=Sheet1!D$19),1,0)</f>
        <v>0</v>
      </c>
      <c r="B605" s="10" t="s">
        <v>215</v>
      </c>
      <c r="C605" s="11">
        <v>0.25</v>
      </c>
      <c r="D605" s="22">
        <v>36</v>
      </c>
      <c r="E605" s="22">
        <v>11481</v>
      </c>
      <c r="F605" s="10" t="s">
        <v>74</v>
      </c>
      <c r="G605" s="10" t="str">
        <f t="shared" si="4"/>
        <v>11481A</v>
      </c>
    </row>
    <row r="606" spans="1:7" x14ac:dyDescent="0.25">
      <c r="A606">
        <f>IF(AND(Sheet2!B606=Sheet1!B$19,Sheet2!C606=Sheet1!C$19,Sheet2!D606=Sheet1!D$19),1,0)</f>
        <v>0</v>
      </c>
      <c r="B606" s="10" t="s">
        <v>215</v>
      </c>
      <c r="C606" s="11">
        <v>0.25</v>
      </c>
      <c r="D606" s="22">
        <v>37</v>
      </c>
      <c r="E606" s="22">
        <v>11482</v>
      </c>
      <c r="F606" s="10" t="s">
        <v>74</v>
      </c>
      <c r="G606" s="10" t="str">
        <f t="shared" si="4"/>
        <v>11482A</v>
      </c>
    </row>
    <row r="607" spans="1:7" x14ac:dyDescent="0.25">
      <c r="A607">
        <f>IF(AND(Sheet2!B607=Sheet1!B$19,Sheet2!C607=Sheet1!C$19,Sheet2!D607=Sheet1!D$19),1,0)</f>
        <v>0</v>
      </c>
      <c r="B607" s="10" t="s">
        <v>215</v>
      </c>
      <c r="C607" s="11">
        <v>0.25</v>
      </c>
      <c r="D607" s="22">
        <v>38</v>
      </c>
      <c r="E607" s="22">
        <v>11483</v>
      </c>
      <c r="F607" s="10" t="s">
        <v>74</v>
      </c>
      <c r="G607" s="10" t="str">
        <f t="shared" si="4"/>
        <v>11483A</v>
      </c>
    </row>
    <row r="608" spans="1:7" x14ac:dyDescent="0.25">
      <c r="A608">
        <f>IF(AND(Sheet2!B608=Sheet1!B$19,Sheet2!C608=Sheet1!C$19,Sheet2!D608=Sheet1!D$19),1,0)</f>
        <v>0</v>
      </c>
      <c r="B608" s="10" t="s">
        <v>215</v>
      </c>
      <c r="C608" s="11">
        <v>0.25</v>
      </c>
      <c r="D608" s="22">
        <v>39</v>
      </c>
      <c r="E608" s="22">
        <v>11484</v>
      </c>
      <c r="F608" s="10" t="s">
        <v>74</v>
      </c>
      <c r="G608" s="10" t="str">
        <f t="shared" si="4"/>
        <v>11484A</v>
      </c>
    </row>
    <row r="609" spans="1:7" x14ac:dyDescent="0.25">
      <c r="A609">
        <f>IF(AND(Sheet2!B609=Sheet1!B$19,Sheet2!C609=Sheet1!C$19,Sheet2!D609=Sheet1!D$19),1,0)</f>
        <v>0</v>
      </c>
      <c r="B609" s="10" t="s">
        <v>215</v>
      </c>
      <c r="C609" s="11">
        <v>0.25</v>
      </c>
      <c r="D609" s="22">
        <v>40</v>
      </c>
      <c r="E609" s="22">
        <v>11485</v>
      </c>
      <c r="F609" s="10" t="s">
        <v>74</v>
      </c>
      <c r="G609" s="10" t="str">
        <f t="shared" si="4"/>
        <v>11485A</v>
      </c>
    </row>
    <row r="610" spans="1:7" x14ac:dyDescent="0.25">
      <c r="A610">
        <f>IF(AND(Sheet2!B610=Sheet1!B$19,Sheet2!C610=Sheet1!C$19,Sheet2!D610=Sheet1!D$19),1,0)</f>
        <v>0</v>
      </c>
      <c r="B610" s="10" t="s">
        <v>215</v>
      </c>
      <c r="C610" s="11">
        <v>0.25</v>
      </c>
      <c r="D610" s="22">
        <v>41</v>
      </c>
      <c r="E610" s="22">
        <v>11486</v>
      </c>
      <c r="F610" s="10" t="s">
        <v>74</v>
      </c>
      <c r="G610" s="10" t="str">
        <f t="shared" si="4"/>
        <v>11486A</v>
      </c>
    </row>
    <row r="611" spans="1:7" x14ac:dyDescent="0.25">
      <c r="A611">
        <f>IF(AND(Sheet2!B611=Sheet1!B$19,Sheet2!C611=Sheet1!C$19,Sheet2!D611=Sheet1!D$19),1,0)</f>
        <v>0</v>
      </c>
      <c r="B611" s="10" t="s">
        <v>215</v>
      </c>
      <c r="C611" s="11">
        <v>0.25</v>
      </c>
      <c r="D611" s="22">
        <v>42</v>
      </c>
      <c r="E611" s="22">
        <v>11487</v>
      </c>
      <c r="F611" s="10" t="s">
        <v>74</v>
      </c>
      <c r="G611" s="10" t="str">
        <f t="shared" si="4"/>
        <v>11487A</v>
      </c>
    </row>
    <row r="612" spans="1:7" x14ac:dyDescent="0.25">
      <c r="A612">
        <f>IF(AND(Sheet2!B612=Sheet1!B$19,Sheet2!C612=Sheet1!C$19,Sheet2!D612=Sheet1!D$19),1,0)</f>
        <v>0</v>
      </c>
      <c r="B612" s="10" t="s">
        <v>215</v>
      </c>
      <c r="C612" s="11">
        <v>0.25</v>
      </c>
      <c r="D612" s="22">
        <v>43</v>
      </c>
      <c r="E612" s="22">
        <v>11488</v>
      </c>
      <c r="F612" s="10" t="s">
        <v>74</v>
      </c>
      <c r="G612" s="10" t="str">
        <f t="shared" si="4"/>
        <v>11488A</v>
      </c>
    </row>
    <row r="613" spans="1:7" x14ac:dyDescent="0.25">
      <c r="A613">
        <f>IF(AND(Sheet2!B613=Sheet1!B$19,Sheet2!C613=Sheet1!C$19,Sheet2!D613=Sheet1!D$19),1,0)</f>
        <v>0</v>
      </c>
      <c r="B613" s="10" t="s">
        <v>215</v>
      </c>
      <c r="C613" s="11">
        <v>0.25</v>
      </c>
      <c r="D613" s="22">
        <v>44</v>
      </c>
      <c r="E613" s="22">
        <v>11489</v>
      </c>
      <c r="F613" s="10" t="s">
        <v>74</v>
      </c>
      <c r="G613" s="10" t="str">
        <f t="shared" si="4"/>
        <v>11489A</v>
      </c>
    </row>
    <row r="614" spans="1:7" x14ac:dyDescent="0.25">
      <c r="A614">
        <f>IF(AND(Sheet2!B614=Sheet1!B$19,Sheet2!C614=Sheet1!C$19,Sheet2!D614=Sheet1!D$19),1,0)</f>
        <v>0</v>
      </c>
      <c r="B614" s="10" t="s">
        <v>215</v>
      </c>
      <c r="C614" s="11">
        <v>0.25</v>
      </c>
      <c r="D614" s="22">
        <v>45</v>
      </c>
      <c r="E614" s="22">
        <v>11490</v>
      </c>
      <c r="F614" s="10" t="s">
        <v>74</v>
      </c>
      <c r="G614" s="10" t="str">
        <f t="shared" si="4"/>
        <v>11490A</v>
      </c>
    </row>
    <row r="615" spans="1:7" x14ac:dyDescent="0.25">
      <c r="A615">
        <f>IF(AND(Sheet2!B615=Sheet1!B$19,Sheet2!C615=Sheet1!C$19,Sheet2!D615=Sheet1!D$19),1,0)</f>
        <v>0</v>
      </c>
      <c r="B615" s="10" t="s">
        <v>215</v>
      </c>
      <c r="C615" s="11">
        <v>0.25</v>
      </c>
      <c r="D615" s="22">
        <v>46</v>
      </c>
      <c r="E615" s="22">
        <v>11491</v>
      </c>
      <c r="F615" s="10" t="s">
        <v>74</v>
      </c>
      <c r="G615" s="10" t="str">
        <f t="shared" si="4"/>
        <v>11491A</v>
      </c>
    </row>
    <row r="616" spans="1:7" x14ac:dyDescent="0.25">
      <c r="A616">
        <f>IF(AND(Sheet2!B616=Sheet1!B$19,Sheet2!C616=Sheet1!C$19,Sheet2!D616=Sheet1!D$19),1,0)</f>
        <v>0</v>
      </c>
      <c r="B616" s="10" t="s">
        <v>215</v>
      </c>
      <c r="C616" s="11">
        <v>0.25</v>
      </c>
      <c r="D616" s="22">
        <v>47</v>
      </c>
      <c r="E616" s="22">
        <v>11492</v>
      </c>
      <c r="F616" s="10" t="s">
        <v>74</v>
      </c>
      <c r="G616" s="10" t="str">
        <f t="shared" si="4"/>
        <v>11492A</v>
      </c>
    </row>
    <row r="617" spans="1:7" x14ac:dyDescent="0.25">
      <c r="A617">
        <f>IF(AND(Sheet2!B617=Sheet1!B$19,Sheet2!C617=Sheet1!C$19,Sheet2!D617=Sheet1!D$19),1,0)</f>
        <v>0</v>
      </c>
      <c r="B617" s="10" t="s">
        <v>215</v>
      </c>
      <c r="C617" s="11">
        <v>0.25</v>
      </c>
      <c r="D617" s="22">
        <v>48</v>
      </c>
      <c r="E617" s="22">
        <v>11493</v>
      </c>
      <c r="F617" s="10" t="s">
        <v>74</v>
      </c>
      <c r="G617" s="10" t="str">
        <f t="shared" si="4"/>
        <v>11493A</v>
      </c>
    </row>
    <row r="618" spans="1:7" x14ac:dyDescent="0.25">
      <c r="A618">
        <f>IF(AND(Sheet2!B618=Sheet1!B$19,Sheet2!C618=Sheet1!C$19,Sheet2!D618=Sheet1!D$19),1,0)</f>
        <v>0</v>
      </c>
      <c r="B618" s="10" t="s">
        <v>215</v>
      </c>
      <c r="C618" s="11">
        <v>0.25</v>
      </c>
      <c r="D618" s="22">
        <v>49</v>
      </c>
      <c r="E618" s="22">
        <v>11494</v>
      </c>
      <c r="F618" s="10" t="s">
        <v>74</v>
      </c>
      <c r="G618" s="10" t="str">
        <f t="shared" si="4"/>
        <v>11494A</v>
      </c>
    </row>
    <row r="619" spans="1:7" x14ac:dyDescent="0.25">
      <c r="A619">
        <f>IF(AND(Sheet2!B619=Sheet1!B$19,Sheet2!C619=Sheet1!C$19,Sheet2!D619=Sheet1!D$19),1,0)</f>
        <v>0</v>
      </c>
      <c r="B619" s="10" t="s">
        <v>215</v>
      </c>
      <c r="C619" s="11">
        <v>0.25</v>
      </c>
      <c r="D619" s="22">
        <v>50</v>
      </c>
      <c r="E619" s="22">
        <v>11495</v>
      </c>
      <c r="F619" s="10" t="s">
        <v>74</v>
      </c>
      <c r="G619" s="10" t="str">
        <f t="shared" si="4"/>
        <v>11495A</v>
      </c>
    </row>
    <row r="620" spans="1:7" x14ac:dyDescent="0.25">
      <c r="A620">
        <f>IF(AND(Sheet2!B620=Sheet1!B$19,Sheet2!C620=Sheet1!C$19,Sheet2!D620=Sheet1!D$19),1,0)</f>
        <v>0</v>
      </c>
      <c r="B620" s="10" t="s">
        <v>215</v>
      </c>
      <c r="C620" s="11">
        <v>0.25</v>
      </c>
      <c r="D620" s="22">
        <v>51</v>
      </c>
      <c r="E620" s="22">
        <v>11496</v>
      </c>
      <c r="F620" s="10" t="s">
        <v>74</v>
      </c>
      <c r="G620" s="10" t="str">
        <f t="shared" si="4"/>
        <v>11496A</v>
      </c>
    </row>
    <row r="621" spans="1:7" x14ac:dyDescent="0.25">
      <c r="A621">
        <f>IF(AND(Sheet2!B621=Sheet1!B$19,Sheet2!C621=Sheet1!C$19,Sheet2!D621=Sheet1!D$19),1,0)</f>
        <v>0</v>
      </c>
      <c r="B621" s="10" t="s">
        <v>215</v>
      </c>
      <c r="C621" s="11">
        <v>0.25</v>
      </c>
      <c r="D621" s="22">
        <v>52</v>
      </c>
      <c r="E621" s="22">
        <v>11497</v>
      </c>
      <c r="F621" s="10" t="s">
        <v>74</v>
      </c>
      <c r="G621" s="10" t="str">
        <f t="shared" si="4"/>
        <v>11497A</v>
      </c>
    </row>
    <row r="622" spans="1:7" x14ac:dyDescent="0.25">
      <c r="A622">
        <f>IF(AND(Sheet2!B622=Sheet1!B$19,Sheet2!C622=Sheet1!C$19,Sheet2!D622=Sheet1!D$19),1,0)</f>
        <v>0</v>
      </c>
      <c r="B622" s="10" t="s">
        <v>215</v>
      </c>
      <c r="C622" s="11">
        <v>0.25</v>
      </c>
      <c r="D622" s="22">
        <v>53</v>
      </c>
      <c r="E622" s="22">
        <v>11498</v>
      </c>
      <c r="F622" s="10" t="s">
        <v>74</v>
      </c>
      <c r="G622" s="10" t="str">
        <f t="shared" si="4"/>
        <v>11498A</v>
      </c>
    </row>
    <row r="623" spans="1:7" x14ac:dyDescent="0.25">
      <c r="A623">
        <f>IF(AND(Sheet2!B623=Sheet1!B$19,Sheet2!C623=Sheet1!C$19,Sheet2!D623=Sheet1!D$19),1,0)</f>
        <v>0</v>
      </c>
      <c r="B623" s="10" t="s">
        <v>215</v>
      </c>
      <c r="C623" s="11">
        <v>0.25</v>
      </c>
      <c r="D623" s="22">
        <v>54</v>
      </c>
      <c r="E623" s="22">
        <v>11499</v>
      </c>
      <c r="F623" s="10" t="s">
        <v>74</v>
      </c>
      <c r="G623" s="10" t="str">
        <f t="shared" si="4"/>
        <v>11499A</v>
      </c>
    </row>
    <row r="624" spans="1:7" x14ac:dyDescent="0.25">
      <c r="A624">
        <f>IF(AND(Sheet2!B624=Sheet1!B$19,Sheet2!C624=Sheet1!C$19,Sheet2!D624=Sheet1!D$19),1,0)</f>
        <v>0</v>
      </c>
      <c r="B624" s="10" t="s">
        <v>215</v>
      </c>
      <c r="C624" s="11">
        <v>0.25</v>
      </c>
      <c r="D624" s="22">
        <v>55</v>
      </c>
      <c r="E624" s="22">
        <v>11500</v>
      </c>
      <c r="F624" s="10" t="s">
        <v>74</v>
      </c>
      <c r="G624" s="10" t="str">
        <f t="shared" si="4"/>
        <v>11500A</v>
      </c>
    </row>
    <row r="625" spans="1:7" x14ac:dyDescent="0.25">
      <c r="A625">
        <f>IF(AND(Sheet2!B625=Sheet1!B$19,Sheet2!C625=Sheet1!C$19,Sheet2!D625=Sheet1!D$19),1,0)</f>
        <v>0</v>
      </c>
      <c r="B625" s="10" t="s">
        <v>215</v>
      </c>
      <c r="C625" s="11">
        <v>0.25</v>
      </c>
      <c r="D625" s="22">
        <v>56</v>
      </c>
      <c r="E625" s="22">
        <v>11501</v>
      </c>
      <c r="F625" s="10" t="s">
        <v>74</v>
      </c>
      <c r="G625" s="10" t="str">
        <f t="shared" si="4"/>
        <v>11501A</v>
      </c>
    </row>
    <row r="626" spans="1:7" x14ac:dyDescent="0.25">
      <c r="A626">
        <f>IF(AND(Sheet2!B626=Sheet1!B$19,Sheet2!C626=Sheet1!C$19,Sheet2!D626=Sheet1!D$19),1,0)</f>
        <v>0</v>
      </c>
      <c r="B626" s="10" t="s">
        <v>215</v>
      </c>
      <c r="C626" s="11">
        <v>0.25</v>
      </c>
      <c r="D626" s="22">
        <v>57</v>
      </c>
      <c r="E626" s="22">
        <v>11502</v>
      </c>
      <c r="F626" s="10" t="s">
        <v>74</v>
      </c>
      <c r="G626" s="10" t="str">
        <f t="shared" si="4"/>
        <v>11502A</v>
      </c>
    </row>
    <row r="627" spans="1:7" x14ac:dyDescent="0.25">
      <c r="A627">
        <f>IF(AND(Sheet2!B627=Sheet1!B$19,Sheet2!C627=Sheet1!C$19,Sheet2!D627=Sheet1!D$19),1,0)</f>
        <v>0</v>
      </c>
      <c r="B627" s="10" t="s">
        <v>215</v>
      </c>
      <c r="C627" s="11">
        <v>0.25</v>
      </c>
      <c r="D627" s="22">
        <v>58</v>
      </c>
      <c r="E627" s="22">
        <v>11503</v>
      </c>
      <c r="F627" s="10" t="s">
        <v>74</v>
      </c>
      <c r="G627" s="10" t="str">
        <f t="shared" si="4"/>
        <v>11503A</v>
      </c>
    </row>
    <row r="628" spans="1:7" x14ac:dyDescent="0.25">
      <c r="A628">
        <f>IF(AND(Sheet2!B628=Sheet1!B$19,Sheet2!C628=Sheet1!C$19,Sheet2!D628=Sheet1!D$19),1,0)</f>
        <v>0</v>
      </c>
      <c r="B628" s="10" t="s">
        <v>215</v>
      </c>
      <c r="C628" s="11">
        <v>0.25</v>
      </c>
      <c r="D628" s="22">
        <v>59</v>
      </c>
      <c r="E628" s="22">
        <v>11504</v>
      </c>
      <c r="F628" s="10" t="s">
        <v>74</v>
      </c>
      <c r="G628" s="10" t="str">
        <f t="shared" si="4"/>
        <v>11504A</v>
      </c>
    </row>
    <row r="629" spans="1:7" x14ac:dyDescent="0.25">
      <c r="A629">
        <f>IF(AND(Sheet2!B629=Sheet1!B$19,Sheet2!C629=Sheet1!C$19,Sheet2!D629=Sheet1!D$19),1,0)</f>
        <v>0</v>
      </c>
      <c r="B629" s="10" t="s">
        <v>215</v>
      </c>
      <c r="C629" s="11">
        <v>0.25</v>
      </c>
      <c r="D629" s="22">
        <v>60</v>
      </c>
      <c r="E629" s="22">
        <v>11505</v>
      </c>
      <c r="F629" s="10" t="s">
        <v>74</v>
      </c>
      <c r="G629" s="10" t="str">
        <f t="shared" si="4"/>
        <v>11505A</v>
      </c>
    </row>
    <row r="630" spans="1:7" x14ac:dyDescent="0.25">
      <c r="A630">
        <f>IF(AND(Sheet2!B630=Sheet1!B$19,Sheet2!C630=Sheet1!C$19,Sheet2!D630=Sheet1!D$19),1,0)</f>
        <v>0</v>
      </c>
      <c r="B630" s="10" t="s">
        <v>215</v>
      </c>
      <c r="C630" s="11">
        <v>0.375</v>
      </c>
      <c r="D630" s="22">
        <v>2</v>
      </c>
      <c r="E630" s="22">
        <v>11982</v>
      </c>
      <c r="F630" s="10" t="s">
        <v>74</v>
      </c>
      <c r="G630" s="10" t="str">
        <f t="shared" si="4"/>
        <v>11982A</v>
      </c>
    </row>
    <row r="631" spans="1:7" x14ac:dyDescent="0.25">
      <c r="A631">
        <f>IF(AND(Sheet2!B631=Sheet1!B$19,Sheet2!C631=Sheet1!C$19,Sheet2!D631=Sheet1!D$19),1,0)</f>
        <v>0</v>
      </c>
      <c r="B631" s="10" t="s">
        <v>215</v>
      </c>
      <c r="C631" s="11">
        <v>0.375</v>
      </c>
      <c r="D631" s="22">
        <v>3</v>
      </c>
      <c r="E631" s="22">
        <v>11983</v>
      </c>
      <c r="F631" s="10" t="s">
        <v>74</v>
      </c>
      <c r="G631" s="10" t="str">
        <f t="shared" si="4"/>
        <v>11983A</v>
      </c>
    </row>
    <row r="632" spans="1:7" x14ac:dyDescent="0.25">
      <c r="A632">
        <f>IF(AND(Sheet2!B632=Sheet1!B$19,Sheet2!C632=Sheet1!C$19,Sheet2!D632=Sheet1!D$19),1,0)</f>
        <v>0</v>
      </c>
      <c r="B632" s="10" t="s">
        <v>215</v>
      </c>
      <c r="C632" s="11">
        <v>0.375</v>
      </c>
      <c r="D632" s="22">
        <v>4</v>
      </c>
      <c r="E632" s="22">
        <v>11984</v>
      </c>
      <c r="F632" s="10" t="s">
        <v>74</v>
      </c>
      <c r="G632" s="10" t="str">
        <f t="shared" si="4"/>
        <v>11984A</v>
      </c>
    </row>
    <row r="633" spans="1:7" x14ac:dyDescent="0.25">
      <c r="A633">
        <f>IF(AND(Sheet2!B633=Sheet1!B$19,Sheet2!C633=Sheet1!C$19,Sheet2!D633=Sheet1!D$19),1,0)</f>
        <v>0</v>
      </c>
      <c r="B633" s="10" t="s">
        <v>215</v>
      </c>
      <c r="C633" s="11">
        <v>0.375</v>
      </c>
      <c r="D633" s="22">
        <v>5</v>
      </c>
      <c r="E633" s="22">
        <v>11985</v>
      </c>
      <c r="F633" s="10" t="s">
        <v>74</v>
      </c>
      <c r="G633" s="10" t="str">
        <f t="shared" si="4"/>
        <v>11985A</v>
      </c>
    </row>
    <row r="634" spans="1:7" x14ac:dyDescent="0.25">
      <c r="A634">
        <f>IF(AND(Sheet2!B634=Sheet1!B$19,Sheet2!C634=Sheet1!C$19,Sheet2!D634=Sheet1!D$19),1,0)</f>
        <v>0</v>
      </c>
      <c r="B634" s="10" t="s">
        <v>215</v>
      </c>
      <c r="C634" s="11">
        <v>0.375</v>
      </c>
      <c r="D634" s="22">
        <v>6</v>
      </c>
      <c r="E634" s="22">
        <v>11986</v>
      </c>
      <c r="F634" s="10" t="s">
        <v>74</v>
      </c>
      <c r="G634" s="10" t="str">
        <f t="shared" si="4"/>
        <v>11986A</v>
      </c>
    </row>
    <row r="635" spans="1:7" x14ac:dyDescent="0.25">
      <c r="A635">
        <f>IF(AND(Sheet2!B635=Sheet1!B$19,Sheet2!C635=Sheet1!C$19,Sheet2!D635=Sheet1!D$19),1,0)</f>
        <v>0</v>
      </c>
      <c r="B635" s="10" t="s">
        <v>215</v>
      </c>
      <c r="C635" s="11">
        <v>0.375</v>
      </c>
      <c r="D635" s="22">
        <v>7</v>
      </c>
      <c r="E635" s="22">
        <v>11987</v>
      </c>
      <c r="F635" s="10" t="s">
        <v>74</v>
      </c>
      <c r="G635" s="10" t="str">
        <f t="shared" si="4"/>
        <v>11987A</v>
      </c>
    </row>
    <row r="636" spans="1:7" x14ac:dyDescent="0.25">
      <c r="A636">
        <f>IF(AND(Sheet2!B636=Sheet1!B$19,Sheet2!C636=Sheet1!C$19,Sheet2!D636=Sheet1!D$19),1,0)</f>
        <v>0</v>
      </c>
      <c r="B636" s="10" t="s">
        <v>215</v>
      </c>
      <c r="C636" s="11">
        <v>0.375</v>
      </c>
      <c r="D636" s="22">
        <v>8</v>
      </c>
      <c r="E636" s="22">
        <v>11988</v>
      </c>
      <c r="F636" s="10" t="s">
        <v>74</v>
      </c>
      <c r="G636" s="10" t="str">
        <f t="shared" si="4"/>
        <v>11988A</v>
      </c>
    </row>
    <row r="637" spans="1:7" x14ac:dyDescent="0.25">
      <c r="A637">
        <f>IF(AND(Sheet2!B637=Sheet1!B$19,Sheet2!C637=Sheet1!C$19,Sheet2!D637=Sheet1!D$19),1,0)</f>
        <v>0</v>
      </c>
      <c r="B637" s="10" t="s">
        <v>215</v>
      </c>
      <c r="C637" s="11">
        <v>0.375</v>
      </c>
      <c r="D637" s="22">
        <v>9</v>
      </c>
      <c r="E637" s="22">
        <v>11989</v>
      </c>
      <c r="F637" s="10" t="s">
        <v>74</v>
      </c>
      <c r="G637" s="10" t="str">
        <f t="shared" si="4"/>
        <v>11989A</v>
      </c>
    </row>
    <row r="638" spans="1:7" x14ac:dyDescent="0.25">
      <c r="A638">
        <f>IF(AND(Sheet2!B638=Sheet1!B$19,Sheet2!C638=Sheet1!C$19,Sheet2!D638=Sheet1!D$19),1,0)</f>
        <v>0</v>
      </c>
      <c r="B638" s="10" t="s">
        <v>215</v>
      </c>
      <c r="C638" s="11">
        <v>0.375</v>
      </c>
      <c r="D638" s="22">
        <v>10</v>
      </c>
      <c r="E638" s="22">
        <v>11990</v>
      </c>
      <c r="F638" s="10" t="s">
        <v>74</v>
      </c>
      <c r="G638" s="10" t="str">
        <f t="shared" si="4"/>
        <v>11990A</v>
      </c>
    </row>
    <row r="639" spans="1:7" x14ac:dyDescent="0.25">
      <c r="A639">
        <f>IF(AND(Sheet2!B639=Sheet1!B$19,Sheet2!C639=Sheet1!C$19,Sheet2!D639=Sheet1!D$19),1,0)</f>
        <v>0</v>
      </c>
      <c r="B639" s="10" t="s">
        <v>215</v>
      </c>
      <c r="C639" s="11">
        <v>0.375</v>
      </c>
      <c r="D639" s="22">
        <v>11</v>
      </c>
      <c r="E639" s="22">
        <v>11991</v>
      </c>
      <c r="F639" s="10" t="s">
        <v>74</v>
      </c>
      <c r="G639" s="10" t="str">
        <f t="shared" si="4"/>
        <v>11991A</v>
      </c>
    </row>
    <row r="640" spans="1:7" x14ac:dyDescent="0.25">
      <c r="A640">
        <f>IF(AND(Sheet2!B640=Sheet1!B$19,Sheet2!C640=Sheet1!C$19,Sheet2!D640=Sheet1!D$19),1,0)</f>
        <v>0</v>
      </c>
      <c r="B640" s="10" t="s">
        <v>215</v>
      </c>
      <c r="C640" s="11">
        <v>0.375</v>
      </c>
      <c r="D640" s="22">
        <v>12</v>
      </c>
      <c r="E640" s="22">
        <v>11992</v>
      </c>
      <c r="F640" s="10" t="s">
        <v>74</v>
      </c>
      <c r="G640" s="10" t="str">
        <f t="shared" si="4"/>
        <v>11992A</v>
      </c>
    </row>
    <row r="641" spans="1:7" x14ac:dyDescent="0.25">
      <c r="A641">
        <f>IF(AND(Sheet2!B641=Sheet1!B$19,Sheet2!C641=Sheet1!C$19,Sheet2!D641=Sheet1!D$19),1,0)</f>
        <v>0</v>
      </c>
      <c r="B641" s="10" t="s">
        <v>215</v>
      </c>
      <c r="C641" s="11">
        <v>0.375</v>
      </c>
      <c r="D641" s="22">
        <v>13</v>
      </c>
      <c r="E641" s="22">
        <v>11993</v>
      </c>
      <c r="F641" s="10" t="s">
        <v>74</v>
      </c>
      <c r="G641" s="10" t="str">
        <f t="shared" si="4"/>
        <v>11993A</v>
      </c>
    </row>
    <row r="642" spans="1:7" x14ac:dyDescent="0.25">
      <c r="A642">
        <f>IF(AND(Sheet2!B642=Sheet1!B$19,Sheet2!C642=Sheet1!C$19,Sheet2!D642=Sheet1!D$19),1,0)</f>
        <v>0</v>
      </c>
      <c r="B642" s="10" t="s">
        <v>215</v>
      </c>
      <c r="C642" s="11">
        <v>0.375</v>
      </c>
      <c r="D642" s="22">
        <v>14</v>
      </c>
      <c r="E642" s="22">
        <v>11994</v>
      </c>
      <c r="F642" s="10" t="s">
        <v>74</v>
      </c>
      <c r="G642" s="10" t="str">
        <f t="shared" si="4"/>
        <v>11994A</v>
      </c>
    </row>
    <row r="643" spans="1:7" x14ac:dyDescent="0.25">
      <c r="A643">
        <f>IF(AND(Sheet2!B643=Sheet1!B$19,Sheet2!C643=Sheet1!C$19,Sheet2!D643=Sheet1!D$19),1,0)</f>
        <v>0</v>
      </c>
      <c r="B643" s="10" t="s">
        <v>215</v>
      </c>
      <c r="C643" s="11">
        <v>0.375</v>
      </c>
      <c r="D643" s="22">
        <v>15</v>
      </c>
      <c r="E643" s="22">
        <v>11995</v>
      </c>
      <c r="F643" s="10" t="s">
        <v>74</v>
      </c>
      <c r="G643" s="10" t="str">
        <f t="shared" si="4"/>
        <v>11995A</v>
      </c>
    </row>
    <row r="644" spans="1:7" x14ac:dyDescent="0.25">
      <c r="A644">
        <f>IF(AND(Sheet2!B644=Sheet1!B$19,Sheet2!C644=Sheet1!C$19,Sheet2!D644=Sheet1!D$19),1,0)</f>
        <v>0</v>
      </c>
      <c r="B644" s="10" t="s">
        <v>215</v>
      </c>
      <c r="C644" s="11">
        <v>0.375</v>
      </c>
      <c r="D644" s="22">
        <v>16</v>
      </c>
      <c r="E644" s="22">
        <v>11996</v>
      </c>
      <c r="F644" s="10" t="s">
        <v>74</v>
      </c>
      <c r="G644" s="10" t="str">
        <f t="shared" si="4"/>
        <v>11996A</v>
      </c>
    </row>
    <row r="645" spans="1:7" x14ac:dyDescent="0.25">
      <c r="A645">
        <f>IF(AND(Sheet2!B645=Sheet1!B$19,Sheet2!C645=Sheet1!C$19,Sheet2!D645=Sheet1!D$19),1,0)</f>
        <v>0</v>
      </c>
      <c r="B645" s="10" t="s">
        <v>215</v>
      </c>
      <c r="C645" s="11">
        <v>0.375</v>
      </c>
      <c r="D645" s="22">
        <v>17</v>
      </c>
      <c r="E645" s="22">
        <v>11997</v>
      </c>
      <c r="F645" s="10" t="s">
        <v>74</v>
      </c>
      <c r="G645" s="10" t="str">
        <f t="shared" si="4"/>
        <v>11997A</v>
      </c>
    </row>
    <row r="646" spans="1:7" x14ac:dyDescent="0.25">
      <c r="A646">
        <f>IF(AND(Sheet2!B646=Sheet1!B$19,Sheet2!C646=Sheet1!C$19,Sheet2!D646=Sheet1!D$19),1,0)</f>
        <v>0</v>
      </c>
      <c r="B646" s="10" t="s">
        <v>215</v>
      </c>
      <c r="C646" s="11">
        <v>0.375</v>
      </c>
      <c r="D646" s="22">
        <v>18</v>
      </c>
      <c r="E646" s="22">
        <v>11998</v>
      </c>
      <c r="F646" s="10" t="s">
        <v>74</v>
      </c>
      <c r="G646" s="10" t="str">
        <f t="shared" si="4"/>
        <v>11998A</v>
      </c>
    </row>
    <row r="647" spans="1:7" x14ac:dyDescent="0.25">
      <c r="A647">
        <f>IF(AND(Sheet2!B647=Sheet1!B$19,Sheet2!C647=Sheet1!C$19,Sheet2!D647=Sheet1!D$19),1,0)</f>
        <v>0</v>
      </c>
      <c r="B647" s="10" t="s">
        <v>215</v>
      </c>
      <c r="C647" s="11">
        <v>0.375</v>
      </c>
      <c r="D647" s="22">
        <v>19</v>
      </c>
      <c r="E647" s="22">
        <v>11999</v>
      </c>
      <c r="F647" s="10" t="s">
        <v>74</v>
      </c>
      <c r="G647" s="10" t="str">
        <f t="shared" si="4"/>
        <v>11999A</v>
      </c>
    </row>
    <row r="648" spans="1:7" x14ac:dyDescent="0.25">
      <c r="A648">
        <f>IF(AND(Sheet2!B648=Sheet1!B$19,Sheet2!C648=Sheet1!C$19,Sheet2!D648=Sheet1!D$19),1,0)</f>
        <v>0</v>
      </c>
      <c r="B648" s="10" t="s">
        <v>215</v>
      </c>
      <c r="C648" s="11">
        <v>0.375</v>
      </c>
      <c r="D648" s="22">
        <v>20</v>
      </c>
      <c r="E648" s="22">
        <v>12000</v>
      </c>
      <c r="F648" s="10" t="s">
        <v>74</v>
      </c>
      <c r="G648" s="10" t="str">
        <f t="shared" si="4"/>
        <v>12000A</v>
      </c>
    </row>
    <row r="649" spans="1:7" x14ac:dyDescent="0.25">
      <c r="A649">
        <f>IF(AND(Sheet2!B649=Sheet1!B$19,Sheet2!C649=Sheet1!C$19,Sheet2!D649=Sheet1!D$19),1,0)</f>
        <v>0</v>
      </c>
      <c r="B649" s="10" t="s">
        <v>215</v>
      </c>
      <c r="C649" s="11">
        <v>0.375</v>
      </c>
      <c r="D649" s="22">
        <v>21</v>
      </c>
      <c r="E649" s="22">
        <v>12001</v>
      </c>
      <c r="F649" s="10" t="s">
        <v>74</v>
      </c>
      <c r="G649" s="10" t="str">
        <f t="shared" si="4"/>
        <v>12001A</v>
      </c>
    </row>
    <row r="650" spans="1:7" x14ac:dyDescent="0.25">
      <c r="A650">
        <f>IF(AND(Sheet2!B650=Sheet1!B$19,Sheet2!C650=Sheet1!C$19,Sheet2!D650=Sheet1!D$19),1,0)</f>
        <v>0</v>
      </c>
      <c r="B650" s="10" t="s">
        <v>215</v>
      </c>
      <c r="C650" s="11">
        <v>0.375</v>
      </c>
      <c r="D650" s="22">
        <v>22</v>
      </c>
      <c r="E650" s="22">
        <v>12002</v>
      </c>
      <c r="F650" s="10" t="s">
        <v>74</v>
      </c>
      <c r="G650" s="10" t="str">
        <f t="shared" si="4"/>
        <v>12002A</v>
      </c>
    </row>
    <row r="651" spans="1:7" x14ac:dyDescent="0.25">
      <c r="A651">
        <f>IF(AND(Sheet2!B651=Sheet1!B$19,Sheet2!C651=Sheet1!C$19,Sheet2!D651=Sheet1!D$19),1,0)</f>
        <v>0</v>
      </c>
      <c r="B651" s="10" t="s">
        <v>215</v>
      </c>
      <c r="C651" s="11">
        <v>0.375</v>
      </c>
      <c r="D651" s="22">
        <v>23</v>
      </c>
      <c r="E651" s="22">
        <v>12003</v>
      </c>
      <c r="F651" s="10" t="s">
        <v>74</v>
      </c>
      <c r="G651" s="10" t="str">
        <f t="shared" si="4"/>
        <v>12003A</v>
      </c>
    </row>
    <row r="652" spans="1:7" x14ac:dyDescent="0.25">
      <c r="A652">
        <f>IF(AND(Sheet2!B652=Sheet1!B$19,Sheet2!C652=Sheet1!C$19,Sheet2!D652=Sheet1!D$19),1,0)</f>
        <v>0</v>
      </c>
      <c r="B652" s="10" t="s">
        <v>215</v>
      </c>
      <c r="C652" s="11">
        <v>0.375</v>
      </c>
      <c r="D652" s="22">
        <v>24</v>
      </c>
      <c r="E652" s="22">
        <v>12004</v>
      </c>
      <c r="F652" s="10" t="s">
        <v>74</v>
      </c>
      <c r="G652" s="10" t="str">
        <f t="shared" si="4"/>
        <v>12004A</v>
      </c>
    </row>
    <row r="653" spans="1:7" x14ac:dyDescent="0.25">
      <c r="A653">
        <f>IF(AND(Sheet2!B653=Sheet1!B$19,Sheet2!C653=Sheet1!C$19,Sheet2!D653=Sheet1!D$19),1,0)</f>
        <v>0</v>
      </c>
      <c r="B653" s="10" t="s">
        <v>215</v>
      </c>
      <c r="C653" s="11">
        <v>0.375</v>
      </c>
      <c r="D653" s="22">
        <v>25</v>
      </c>
      <c r="E653" s="22">
        <v>12005</v>
      </c>
      <c r="F653" s="10" t="s">
        <v>74</v>
      </c>
      <c r="G653" s="10" t="str">
        <f t="shared" si="4"/>
        <v>12005A</v>
      </c>
    </row>
    <row r="654" spans="1:7" x14ac:dyDescent="0.25">
      <c r="A654">
        <f>IF(AND(Sheet2!B654=Sheet1!B$19,Sheet2!C654=Sheet1!C$19,Sheet2!D654=Sheet1!D$19),1,0)</f>
        <v>0</v>
      </c>
      <c r="B654" s="10" t="s">
        <v>215</v>
      </c>
      <c r="C654" s="11">
        <v>0.375</v>
      </c>
      <c r="D654" s="22">
        <v>26</v>
      </c>
      <c r="E654" s="22">
        <v>12006</v>
      </c>
      <c r="F654" s="10" t="s">
        <v>74</v>
      </c>
      <c r="G654" s="10" t="str">
        <f t="shared" si="4"/>
        <v>12006A</v>
      </c>
    </row>
    <row r="655" spans="1:7" x14ac:dyDescent="0.25">
      <c r="A655">
        <f>IF(AND(Sheet2!B655=Sheet1!B$19,Sheet2!C655=Sheet1!C$19,Sheet2!D655=Sheet1!D$19),1,0)</f>
        <v>0</v>
      </c>
      <c r="B655" s="10" t="s">
        <v>215</v>
      </c>
      <c r="C655" s="11">
        <v>0.375</v>
      </c>
      <c r="D655" s="22">
        <v>27</v>
      </c>
      <c r="E655" s="22">
        <v>12007</v>
      </c>
      <c r="F655" s="10" t="s">
        <v>74</v>
      </c>
      <c r="G655" s="10" t="str">
        <f t="shared" si="4"/>
        <v>12007A</v>
      </c>
    </row>
    <row r="656" spans="1:7" x14ac:dyDescent="0.25">
      <c r="A656">
        <f>IF(AND(Sheet2!B656=Sheet1!B$19,Sheet2!C656=Sheet1!C$19,Sheet2!D656=Sheet1!D$19),1,0)</f>
        <v>0</v>
      </c>
      <c r="B656" s="10" t="s">
        <v>215</v>
      </c>
      <c r="C656" s="11">
        <v>0.375</v>
      </c>
      <c r="D656" s="22">
        <v>28</v>
      </c>
      <c r="E656" s="22">
        <v>12008</v>
      </c>
      <c r="F656" s="10" t="s">
        <v>74</v>
      </c>
      <c r="G656" s="10" t="str">
        <f t="shared" si="4"/>
        <v>12008A</v>
      </c>
    </row>
    <row r="657" spans="1:7" x14ac:dyDescent="0.25">
      <c r="A657">
        <f>IF(AND(Sheet2!B657=Sheet1!B$19,Sheet2!C657=Sheet1!C$19,Sheet2!D657=Sheet1!D$19),1,0)</f>
        <v>0</v>
      </c>
      <c r="B657" s="10" t="s">
        <v>215</v>
      </c>
      <c r="C657" s="11">
        <v>0.375</v>
      </c>
      <c r="D657" s="22">
        <v>29</v>
      </c>
      <c r="E657" s="22">
        <v>12009</v>
      </c>
      <c r="F657" s="10" t="s">
        <v>74</v>
      </c>
      <c r="G657" s="10" t="str">
        <f t="shared" si="4"/>
        <v>12009A</v>
      </c>
    </row>
    <row r="658" spans="1:7" x14ac:dyDescent="0.25">
      <c r="A658">
        <f>IF(AND(Sheet2!B658=Sheet1!B$19,Sheet2!C658=Sheet1!C$19,Sheet2!D658=Sheet1!D$19),1,0)</f>
        <v>0</v>
      </c>
      <c r="B658" s="10" t="s">
        <v>215</v>
      </c>
      <c r="C658" s="11">
        <v>0.375</v>
      </c>
      <c r="D658" s="22">
        <v>30</v>
      </c>
      <c r="E658" s="22">
        <v>12010</v>
      </c>
      <c r="F658" s="10" t="s">
        <v>74</v>
      </c>
      <c r="G658" s="10" t="str">
        <f t="shared" si="4"/>
        <v>12010A</v>
      </c>
    </row>
    <row r="659" spans="1:7" x14ac:dyDescent="0.25">
      <c r="A659">
        <f>IF(AND(Sheet2!B659=Sheet1!B$19,Sheet2!C659=Sheet1!C$19,Sheet2!D659=Sheet1!D$19),1,0)</f>
        <v>0</v>
      </c>
      <c r="B659" s="10" t="s">
        <v>215</v>
      </c>
      <c r="C659" s="11">
        <v>0.375</v>
      </c>
      <c r="D659" s="22">
        <v>31</v>
      </c>
      <c r="E659" s="22">
        <v>12011</v>
      </c>
      <c r="F659" s="10" t="s">
        <v>74</v>
      </c>
      <c r="G659" s="10" t="str">
        <f t="shared" si="4"/>
        <v>12011A</v>
      </c>
    </row>
    <row r="660" spans="1:7" x14ac:dyDescent="0.25">
      <c r="A660">
        <f>IF(AND(Sheet2!B660=Sheet1!B$19,Sheet2!C660=Sheet1!C$19,Sheet2!D660=Sheet1!D$19),1,0)</f>
        <v>0</v>
      </c>
      <c r="B660" s="10" t="s">
        <v>215</v>
      </c>
      <c r="C660" s="11">
        <v>0.375</v>
      </c>
      <c r="D660" s="22">
        <v>32</v>
      </c>
      <c r="E660" s="22">
        <v>12012</v>
      </c>
      <c r="F660" s="10" t="s">
        <v>74</v>
      </c>
      <c r="G660" s="10" t="str">
        <f t="shared" si="4"/>
        <v>12012A</v>
      </c>
    </row>
    <row r="661" spans="1:7" x14ac:dyDescent="0.25">
      <c r="A661">
        <f>IF(AND(Sheet2!B661=Sheet1!B$19,Sheet2!C661=Sheet1!C$19,Sheet2!D661=Sheet1!D$19),1,0)</f>
        <v>0</v>
      </c>
      <c r="B661" s="10" t="s">
        <v>215</v>
      </c>
      <c r="C661" s="11">
        <v>0.375</v>
      </c>
      <c r="D661" s="22">
        <v>33</v>
      </c>
      <c r="E661" s="22">
        <v>12013</v>
      </c>
      <c r="F661" s="10" t="s">
        <v>74</v>
      </c>
      <c r="G661" s="10" t="str">
        <f t="shared" si="4"/>
        <v>12013A</v>
      </c>
    </row>
    <row r="662" spans="1:7" x14ac:dyDescent="0.25">
      <c r="A662">
        <f>IF(AND(Sheet2!B662=Sheet1!B$19,Sheet2!C662=Sheet1!C$19,Sheet2!D662=Sheet1!D$19),1,0)</f>
        <v>0</v>
      </c>
      <c r="B662" s="10" t="s">
        <v>215</v>
      </c>
      <c r="C662" s="11">
        <v>0.375</v>
      </c>
      <c r="D662" s="22">
        <v>34</v>
      </c>
      <c r="E662" s="22">
        <v>12014</v>
      </c>
      <c r="F662" s="10" t="s">
        <v>74</v>
      </c>
      <c r="G662" s="10" t="str">
        <f t="shared" si="4"/>
        <v>12014A</v>
      </c>
    </row>
    <row r="663" spans="1:7" x14ac:dyDescent="0.25">
      <c r="A663">
        <f>IF(AND(Sheet2!B663=Sheet1!B$19,Sheet2!C663=Sheet1!C$19,Sheet2!D663=Sheet1!D$19),1,0)</f>
        <v>0</v>
      </c>
      <c r="B663" s="10" t="s">
        <v>215</v>
      </c>
      <c r="C663" s="11">
        <v>0.375</v>
      </c>
      <c r="D663" s="22">
        <v>35</v>
      </c>
      <c r="E663" s="22">
        <v>12015</v>
      </c>
      <c r="F663" s="10" t="s">
        <v>74</v>
      </c>
      <c r="G663" s="10" t="str">
        <f t="shared" si="4"/>
        <v>12015A</v>
      </c>
    </row>
    <row r="664" spans="1:7" x14ac:dyDescent="0.25">
      <c r="A664">
        <f>IF(AND(Sheet2!B664=Sheet1!B$19,Sheet2!C664=Sheet1!C$19,Sheet2!D664=Sheet1!D$19),1,0)</f>
        <v>0</v>
      </c>
      <c r="B664" s="10" t="s">
        <v>215</v>
      </c>
      <c r="C664" s="11">
        <v>0.375</v>
      </c>
      <c r="D664" s="22">
        <v>36</v>
      </c>
      <c r="E664" s="22">
        <v>12016</v>
      </c>
      <c r="F664" s="10" t="s">
        <v>74</v>
      </c>
      <c r="G664" s="10" t="str">
        <f t="shared" si="4"/>
        <v>12016A</v>
      </c>
    </row>
    <row r="665" spans="1:7" x14ac:dyDescent="0.25">
      <c r="A665">
        <f>IF(AND(Sheet2!B665=Sheet1!B$19,Sheet2!C665=Sheet1!C$19,Sheet2!D665=Sheet1!D$19),1,0)</f>
        <v>0</v>
      </c>
      <c r="B665" s="10" t="s">
        <v>215</v>
      </c>
      <c r="C665" s="11">
        <v>0.375</v>
      </c>
      <c r="D665" s="22">
        <v>37</v>
      </c>
      <c r="E665" s="22">
        <v>12017</v>
      </c>
      <c r="F665" s="10" t="s">
        <v>74</v>
      </c>
      <c r="G665" s="10" t="str">
        <f t="shared" si="4"/>
        <v>12017A</v>
      </c>
    </row>
    <row r="666" spans="1:7" x14ac:dyDescent="0.25">
      <c r="A666">
        <f>IF(AND(Sheet2!B666=Sheet1!B$19,Sheet2!C666=Sheet1!C$19,Sheet2!D666=Sheet1!D$19),1,0)</f>
        <v>0</v>
      </c>
      <c r="B666" s="10" t="s">
        <v>215</v>
      </c>
      <c r="C666" s="11">
        <v>0.375</v>
      </c>
      <c r="D666" s="22">
        <v>38</v>
      </c>
      <c r="E666" s="22">
        <v>12018</v>
      </c>
      <c r="F666" s="10" t="s">
        <v>74</v>
      </c>
      <c r="G666" s="10" t="str">
        <f t="shared" si="4"/>
        <v>12018A</v>
      </c>
    </row>
    <row r="667" spans="1:7" x14ac:dyDescent="0.25">
      <c r="A667">
        <f>IF(AND(Sheet2!B667=Sheet1!B$19,Sheet2!C667=Sheet1!C$19,Sheet2!D667=Sheet1!D$19),1,0)</f>
        <v>0</v>
      </c>
      <c r="B667" s="10" t="s">
        <v>215</v>
      </c>
      <c r="C667" s="11">
        <v>0.375</v>
      </c>
      <c r="D667" s="22">
        <v>39</v>
      </c>
      <c r="E667" s="22">
        <v>12019</v>
      </c>
      <c r="F667" s="10" t="s">
        <v>74</v>
      </c>
      <c r="G667" s="10" t="str">
        <f t="shared" si="4"/>
        <v>12019A</v>
      </c>
    </row>
    <row r="668" spans="1:7" x14ac:dyDescent="0.25">
      <c r="A668">
        <f>IF(AND(Sheet2!B668=Sheet1!B$19,Sheet2!C668=Sheet1!C$19,Sheet2!D668=Sheet1!D$19),1,0)</f>
        <v>0</v>
      </c>
      <c r="B668" s="10" t="s">
        <v>215</v>
      </c>
      <c r="C668" s="11">
        <v>0.375</v>
      </c>
      <c r="D668" s="22">
        <v>40</v>
      </c>
      <c r="E668" s="22">
        <v>12020</v>
      </c>
      <c r="F668" s="10" t="s">
        <v>74</v>
      </c>
      <c r="G668" s="10" t="str">
        <f t="shared" si="4"/>
        <v>12020A</v>
      </c>
    </row>
    <row r="669" spans="1:7" x14ac:dyDescent="0.25">
      <c r="A669">
        <f>IF(AND(Sheet2!B669=Sheet1!B$19,Sheet2!C669=Sheet1!C$19,Sheet2!D669=Sheet1!D$19),1,0)</f>
        <v>0</v>
      </c>
      <c r="B669" s="10" t="s">
        <v>215</v>
      </c>
      <c r="C669" s="11">
        <v>0.375</v>
      </c>
      <c r="D669" s="22">
        <v>41</v>
      </c>
      <c r="E669" s="22">
        <v>12021</v>
      </c>
      <c r="F669" s="10" t="s">
        <v>74</v>
      </c>
      <c r="G669" s="10" t="str">
        <f t="shared" si="4"/>
        <v>12021A</v>
      </c>
    </row>
    <row r="670" spans="1:7" x14ac:dyDescent="0.25">
      <c r="A670">
        <f>IF(AND(Sheet2!B670=Sheet1!B$19,Sheet2!C670=Sheet1!C$19,Sheet2!D670=Sheet1!D$19),1,0)</f>
        <v>0</v>
      </c>
      <c r="B670" s="10" t="s">
        <v>215</v>
      </c>
      <c r="C670" s="11">
        <v>0.375</v>
      </c>
      <c r="D670" s="22">
        <v>42</v>
      </c>
      <c r="E670" s="22">
        <v>12022</v>
      </c>
      <c r="F670" s="10" t="s">
        <v>74</v>
      </c>
      <c r="G670" s="10" t="str">
        <f t="shared" si="4"/>
        <v>12022A</v>
      </c>
    </row>
    <row r="671" spans="1:7" x14ac:dyDescent="0.25">
      <c r="A671">
        <f>IF(AND(Sheet2!B671=Sheet1!B$19,Sheet2!C671=Sheet1!C$19,Sheet2!D671=Sheet1!D$19),1,0)</f>
        <v>0</v>
      </c>
      <c r="B671" s="10" t="s">
        <v>215</v>
      </c>
      <c r="C671" s="11">
        <v>0.375</v>
      </c>
      <c r="D671" s="22">
        <v>43</v>
      </c>
      <c r="E671" s="22">
        <v>12023</v>
      </c>
      <c r="F671" s="10" t="s">
        <v>74</v>
      </c>
      <c r="G671" s="10" t="str">
        <f t="shared" si="4"/>
        <v>12023A</v>
      </c>
    </row>
    <row r="672" spans="1:7" x14ac:dyDescent="0.25">
      <c r="A672">
        <f>IF(AND(Sheet2!B672=Sheet1!B$19,Sheet2!C672=Sheet1!C$19,Sheet2!D672=Sheet1!D$19),1,0)</f>
        <v>0</v>
      </c>
      <c r="B672" s="10" t="s">
        <v>215</v>
      </c>
      <c r="C672" s="11">
        <v>0.375</v>
      </c>
      <c r="D672" s="22">
        <v>44</v>
      </c>
      <c r="E672" s="22">
        <v>12024</v>
      </c>
      <c r="F672" s="10" t="s">
        <v>74</v>
      </c>
      <c r="G672" s="10" t="str">
        <f t="shared" si="4"/>
        <v>12024A</v>
      </c>
    </row>
    <row r="673" spans="1:7" x14ac:dyDescent="0.25">
      <c r="A673">
        <f>IF(AND(Sheet2!B673=Sheet1!B$19,Sheet2!C673=Sheet1!C$19,Sheet2!D673=Sheet1!D$19),1,0)</f>
        <v>0</v>
      </c>
      <c r="B673" s="10" t="s">
        <v>215</v>
      </c>
      <c r="C673" s="11">
        <v>0.375</v>
      </c>
      <c r="D673" s="22">
        <v>45</v>
      </c>
      <c r="E673" s="22">
        <v>12025</v>
      </c>
      <c r="F673" s="10" t="s">
        <v>74</v>
      </c>
      <c r="G673" s="10" t="str">
        <f t="shared" si="4"/>
        <v>12025A</v>
      </c>
    </row>
    <row r="674" spans="1:7" x14ac:dyDescent="0.25">
      <c r="A674">
        <f>IF(AND(Sheet2!B674=Sheet1!B$19,Sheet2!C674=Sheet1!C$19,Sheet2!D674=Sheet1!D$19),1,0)</f>
        <v>0</v>
      </c>
      <c r="B674" s="10" t="s">
        <v>215</v>
      </c>
      <c r="C674" s="11">
        <v>0.375</v>
      </c>
      <c r="D674" s="22">
        <v>46</v>
      </c>
      <c r="E674" s="22">
        <v>12026</v>
      </c>
      <c r="F674" s="10" t="s">
        <v>74</v>
      </c>
      <c r="G674" s="10" t="str">
        <f t="shared" si="4"/>
        <v>12026A</v>
      </c>
    </row>
    <row r="675" spans="1:7" x14ac:dyDescent="0.25">
      <c r="A675">
        <f>IF(AND(Sheet2!B675=Sheet1!B$19,Sheet2!C675=Sheet1!C$19,Sheet2!D675=Sheet1!D$19),1,0)</f>
        <v>0</v>
      </c>
      <c r="B675" s="10" t="s">
        <v>215</v>
      </c>
      <c r="C675" s="11">
        <v>0.375</v>
      </c>
      <c r="D675" s="22">
        <v>47</v>
      </c>
      <c r="E675" s="22">
        <v>12027</v>
      </c>
      <c r="F675" s="10" t="s">
        <v>74</v>
      </c>
      <c r="G675" s="10" t="str">
        <f t="shared" si="4"/>
        <v>12027A</v>
      </c>
    </row>
    <row r="676" spans="1:7" x14ac:dyDescent="0.25">
      <c r="A676">
        <f>IF(AND(Sheet2!B676=Sheet1!B$19,Sheet2!C676=Sheet1!C$19,Sheet2!D676=Sheet1!D$19),1,0)</f>
        <v>0</v>
      </c>
      <c r="B676" s="10" t="s">
        <v>215</v>
      </c>
      <c r="C676" s="11">
        <v>0.375</v>
      </c>
      <c r="D676" s="22">
        <v>48</v>
      </c>
      <c r="E676" s="22">
        <v>12028</v>
      </c>
      <c r="F676" s="10" t="s">
        <v>74</v>
      </c>
      <c r="G676" s="10" t="str">
        <f t="shared" si="4"/>
        <v>12028A</v>
      </c>
    </row>
    <row r="677" spans="1:7" x14ac:dyDescent="0.25">
      <c r="A677">
        <f>IF(AND(Sheet2!B677=Sheet1!B$19,Sheet2!C677=Sheet1!C$19,Sheet2!D677=Sheet1!D$19),1,0)</f>
        <v>0</v>
      </c>
      <c r="B677" s="10" t="s">
        <v>215</v>
      </c>
      <c r="C677" s="11">
        <v>0.375</v>
      </c>
      <c r="D677" s="22">
        <v>49</v>
      </c>
      <c r="E677" s="22">
        <v>12029</v>
      </c>
      <c r="F677" s="10" t="s">
        <v>74</v>
      </c>
      <c r="G677" s="10" t="str">
        <f t="shared" si="4"/>
        <v>12029A</v>
      </c>
    </row>
    <row r="678" spans="1:7" x14ac:dyDescent="0.25">
      <c r="A678">
        <f>IF(AND(Sheet2!B678=Sheet1!B$19,Sheet2!C678=Sheet1!C$19,Sheet2!D678=Sheet1!D$19),1,0)</f>
        <v>0</v>
      </c>
      <c r="B678" s="10" t="s">
        <v>215</v>
      </c>
      <c r="C678" s="11">
        <v>0.375</v>
      </c>
      <c r="D678" s="22">
        <v>50</v>
      </c>
      <c r="E678" s="22">
        <v>12030</v>
      </c>
      <c r="F678" s="10" t="s">
        <v>74</v>
      </c>
      <c r="G678" s="10" t="str">
        <f t="shared" si="4"/>
        <v>12030A</v>
      </c>
    </row>
    <row r="679" spans="1:7" x14ac:dyDescent="0.25">
      <c r="A679">
        <f>IF(AND(Sheet2!B679=Sheet1!B$19,Sheet2!C679=Sheet1!C$19,Sheet2!D679=Sheet1!D$19),1,0)</f>
        <v>0</v>
      </c>
      <c r="B679" s="10" t="s">
        <v>215</v>
      </c>
      <c r="C679" s="11">
        <v>0.375</v>
      </c>
      <c r="D679" s="22">
        <v>51</v>
      </c>
      <c r="E679" s="22">
        <v>12031</v>
      </c>
      <c r="F679" s="10" t="s">
        <v>74</v>
      </c>
      <c r="G679" s="10" t="str">
        <f t="shared" si="4"/>
        <v>12031A</v>
      </c>
    </row>
    <row r="680" spans="1:7" x14ac:dyDescent="0.25">
      <c r="A680">
        <f>IF(AND(Sheet2!B680=Sheet1!B$19,Sheet2!C680=Sheet1!C$19,Sheet2!D680=Sheet1!D$19),1,0)</f>
        <v>0</v>
      </c>
      <c r="B680" s="10" t="s">
        <v>215</v>
      </c>
      <c r="C680" s="11">
        <v>0.375</v>
      </c>
      <c r="D680" s="22">
        <v>52</v>
      </c>
      <c r="E680" s="22">
        <v>12032</v>
      </c>
      <c r="F680" s="10" t="s">
        <v>74</v>
      </c>
      <c r="G680" s="10" t="str">
        <f t="shared" si="4"/>
        <v>12032A</v>
      </c>
    </row>
    <row r="681" spans="1:7" x14ac:dyDescent="0.25">
      <c r="A681">
        <f>IF(AND(Sheet2!B681=Sheet1!B$19,Sheet2!C681=Sheet1!C$19,Sheet2!D681=Sheet1!D$19),1,0)</f>
        <v>0</v>
      </c>
      <c r="B681" s="10" t="s">
        <v>215</v>
      </c>
      <c r="C681" s="11">
        <v>0.375</v>
      </c>
      <c r="D681" s="22">
        <v>53</v>
      </c>
      <c r="E681" s="22">
        <v>12033</v>
      </c>
      <c r="F681" s="10" t="s">
        <v>74</v>
      </c>
      <c r="G681" s="10" t="str">
        <f t="shared" si="4"/>
        <v>12033A</v>
      </c>
    </row>
    <row r="682" spans="1:7" x14ac:dyDescent="0.25">
      <c r="A682">
        <f>IF(AND(Sheet2!B682=Sheet1!B$19,Sheet2!C682=Sheet1!C$19,Sheet2!D682=Sheet1!D$19),1,0)</f>
        <v>0</v>
      </c>
      <c r="B682" s="10" t="s">
        <v>215</v>
      </c>
      <c r="C682" s="11">
        <v>0.375</v>
      </c>
      <c r="D682" s="22">
        <v>54</v>
      </c>
      <c r="E682" s="22">
        <v>12034</v>
      </c>
      <c r="F682" s="10" t="s">
        <v>74</v>
      </c>
      <c r="G682" s="10" t="str">
        <f t="shared" si="4"/>
        <v>12034A</v>
      </c>
    </row>
    <row r="683" spans="1:7" x14ac:dyDescent="0.25">
      <c r="A683">
        <f>IF(AND(Sheet2!B683=Sheet1!B$19,Sheet2!C683=Sheet1!C$19,Sheet2!D683=Sheet1!D$19),1,0)</f>
        <v>0</v>
      </c>
      <c r="B683" s="10" t="s">
        <v>215</v>
      </c>
      <c r="C683" s="11">
        <v>0.375</v>
      </c>
      <c r="D683" s="22">
        <v>55</v>
      </c>
      <c r="E683" s="22">
        <v>12035</v>
      </c>
      <c r="F683" s="10" t="s">
        <v>74</v>
      </c>
      <c r="G683" s="10" t="str">
        <f t="shared" si="4"/>
        <v>12035A</v>
      </c>
    </row>
    <row r="684" spans="1:7" x14ac:dyDescent="0.25">
      <c r="A684">
        <f>IF(AND(Sheet2!B684=Sheet1!B$19,Sheet2!C684=Sheet1!C$19,Sheet2!D684=Sheet1!D$19),1,0)</f>
        <v>0</v>
      </c>
      <c r="B684" s="10" t="s">
        <v>215</v>
      </c>
      <c r="C684" s="11">
        <v>0.375</v>
      </c>
      <c r="D684" s="22">
        <v>56</v>
      </c>
      <c r="E684" s="22">
        <v>12036</v>
      </c>
      <c r="F684" s="10" t="s">
        <v>74</v>
      </c>
      <c r="G684" s="10" t="str">
        <f t="shared" si="4"/>
        <v>12036A</v>
      </c>
    </row>
    <row r="685" spans="1:7" x14ac:dyDescent="0.25">
      <c r="A685">
        <f>IF(AND(Sheet2!B685=Sheet1!B$19,Sheet2!C685=Sheet1!C$19,Sheet2!D685=Sheet1!D$19),1,0)</f>
        <v>0</v>
      </c>
      <c r="B685" s="10" t="s">
        <v>215</v>
      </c>
      <c r="C685" s="11">
        <v>0.375</v>
      </c>
      <c r="D685" s="22">
        <v>57</v>
      </c>
      <c r="E685" s="22">
        <v>12037</v>
      </c>
      <c r="F685" s="10" t="s">
        <v>74</v>
      </c>
      <c r="G685" s="10" t="str">
        <f t="shared" si="4"/>
        <v>12037A</v>
      </c>
    </row>
    <row r="686" spans="1:7" x14ac:dyDescent="0.25">
      <c r="A686">
        <f>IF(AND(Sheet2!B686=Sheet1!B$19,Sheet2!C686=Sheet1!C$19,Sheet2!D686=Sheet1!D$19),1,0)</f>
        <v>0</v>
      </c>
      <c r="B686" s="10" t="s">
        <v>215</v>
      </c>
      <c r="C686" s="11">
        <v>0.375</v>
      </c>
      <c r="D686" s="22">
        <v>58</v>
      </c>
      <c r="E686" s="22">
        <v>12038</v>
      </c>
      <c r="F686" s="10" t="s">
        <v>74</v>
      </c>
      <c r="G686" s="10" t="str">
        <f t="shared" si="4"/>
        <v>12038A</v>
      </c>
    </row>
    <row r="687" spans="1:7" x14ac:dyDescent="0.25">
      <c r="A687">
        <f>IF(AND(Sheet2!B687=Sheet1!B$19,Sheet2!C687=Sheet1!C$19,Sheet2!D687=Sheet1!D$19),1,0)</f>
        <v>0</v>
      </c>
      <c r="B687" s="10" t="s">
        <v>215</v>
      </c>
      <c r="C687" s="11">
        <v>0.375</v>
      </c>
      <c r="D687" s="22">
        <v>59</v>
      </c>
      <c r="E687" s="22">
        <v>12039</v>
      </c>
      <c r="F687" s="10" t="s">
        <v>74</v>
      </c>
      <c r="G687" s="10" t="str">
        <f t="shared" si="4"/>
        <v>12039A</v>
      </c>
    </row>
    <row r="688" spans="1:7" x14ac:dyDescent="0.25">
      <c r="A688">
        <f>IF(AND(Sheet2!B688=Sheet1!B$19,Sheet2!C688=Sheet1!C$19,Sheet2!D688=Sheet1!D$19),1,0)</f>
        <v>0</v>
      </c>
      <c r="B688" s="10" t="s">
        <v>215</v>
      </c>
      <c r="C688" s="11">
        <v>0.375</v>
      </c>
      <c r="D688" s="22">
        <v>60</v>
      </c>
      <c r="E688" s="22">
        <v>12040</v>
      </c>
      <c r="F688" s="10" t="s">
        <v>74</v>
      </c>
      <c r="G688" s="10" t="str">
        <f t="shared" si="4"/>
        <v>12040A</v>
      </c>
    </row>
    <row r="689" spans="1:7" x14ac:dyDescent="0.25">
      <c r="A689">
        <f>IF(AND(Sheet2!B689=Sheet1!B$19,Sheet2!C689=Sheet1!C$19,Sheet2!D689=Sheet1!D$19),1,0)</f>
        <v>0</v>
      </c>
      <c r="B689" s="10" t="s">
        <v>215</v>
      </c>
      <c r="C689" s="11">
        <v>0.5</v>
      </c>
      <c r="D689" s="22">
        <v>2</v>
      </c>
      <c r="E689" s="22">
        <v>11154</v>
      </c>
      <c r="F689" s="10" t="s">
        <v>74</v>
      </c>
      <c r="G689" s="10" t="str">
        <f t="shared" si="4"/>
        <v>11154A</v>
      </c>
    </row>
    <row r="690" spans="1:7" x14ac:dyDescent="0.25">
      <c r="A690">
        <f>IF(AND(Sheet2!B690=Sheet1!B$19,Sheet2!C690=Sheet1!C$19,Sheet2!D690=Sheet1!D$19),1,0)</f>
        <v>0</v>
      </c>
      <c r="B690" s="10" t="s">
        <v>215</v>
      </c>
      <c r="C690" s="11">
        <v>0.5</v>
      </c>
      <c r="D690" s="22">
        <v>3</v>
      </c>
      <c r="E690" s="22">
        <v>11155</v>
      </c>
      <c r="F690" s="10" t="s">
        <v>74</v>
      </c>
      <c r="G690" s="10" t="str">
        <f t="shared" si="4"/>
        <v>11155A</v>
      </c>
    </row>
    <row r="691" spans="1:7" x14ac:dyDescent="0.25">
      <c r="A691">
        <f>IF(AND(Sheet2!B691=Sheet1!B$19,Sheet2!C691=Sheet1!C$19,Sheet2!D691=Sheet1!D$19),1,0)</f>
        <v>0</v>
      </c>
      <c r="B691" s="10" t="s">
        <v>215</v>
      </c>
      <c r="C691" s="11">
        <v>0.5</v>
      </c>
      <c r="D691" s="22">
        <v>4</v>
      </c>
      <c r="E691" s="22">
        <v>11156</v>
      </c>
      <c r="F691" s="10" t="s">
        <v>74</v>
      </c>
      <c r="G691" s="10" t="str">
        <f t="shared" si="4"/>
        <v>11156A</v>
      </c>
    </row>
    <row r="692" spans="1:7" x14ac:dyDescent="0.25">
      <c r="A692">
        <f>IF(AND(Sheet2!B692=Sheet1!B$19,Sheet2!C692=Sheet1!C$19,Sheet2!D692=Sheet1!D$19),1,0)</f>
        <v>0</v>
      </c>
      <c r="B692" s="10" t="s">
        <v>215</v>
      </c>
      <c r="C692" s="11">
        <v>0.5</v>
      </c>
      <c r="D692" s="22">
        <v>5</v>
      </c>
      <c r="E692" s="22">
        <v>11157</v>
      </c>
      <c r="F692" s="10" t="s">
        <v>74</v>
      </c>
      <c r="G692" s="10" t="str">
        <f t="shared" si="4"/>
        <v>11157A</v>
      </c>
    </row>
    <row r="693" spans="1:7" x14ac:dyDescent="0.25">
      <c r="A693">
        <f>IF(AND(Sheet2!B693=Sheet1!B$19,Sheet2!C693=Sheet1!C$19,Sheet2!D693=Sheet1!D$19),1,0)</f>
        <v>0</v>
      </c>
      <c r="B693" s="10" t="s">
        <v>215</v>
      </c>
      <c r="C693" s="11">
        <v>0.5</v>
      </c>
      <c r="D693" s="22">
        <v>6</v>
      </c>
      <c r="E693" s="22">
        <v>11158</v>
      </c>
      <c r="F693" s="10" t="s">
        <v>74</v>
      </c>
      <c r="G693" s="10" t="str">
        <f t="shared" si="4"/>
        <v>11158A</v>
      </c>
    </row>
    <row r="694" spans="1:7" x14ac:dyDescent="0.25">
      <c r="A694">
        <f>IF(AND(Sheet2!B694=Sheet1!B$19,Sheet2!C694=Sheet1!C$19,Sheet2!D694=Sheet1!D$19),1,0)</f>
        <v>0</v>
      </c>
      <c r="B694" s="10" t="s">
        <v>215</v>
      </c>
      <c r="C694" s="11">
        <v>0.5</v>
      </c>
      <c r="D694" s="22">
        <v>7</v>
      </c>
      <c r="E694" s="22">
        <v>11159</v>
      </c>
      <c r="F694" s="10" t="s">
        <v>74</v>
      </c>
      <c r="G694" s="10" t="str">
        <f t="shared" si="4"/>
        <v>11159A</v>
      </c>
    </row>
    <row r="695" spans="1:7" x14ac:dyDescent="0.25">
      <c r="A695">
        <f>IF(AND(Sheet2!B695=Sheet1!B$19,Sheet2!C695=Sheet1!C$19,Sheet2!D695=Sheet1!D$19),1,0)</f>
        <v>0</v>
      </c>
      <c r="B695" s="10" t="s">
        <v>215</v>
      </c>
      <c r="C695" s="11">
        <v>0.5</v>
      </c>
      <c r="D695" s="22">
        <v>8</v>
      </c>
      <c r="E695" s="22">
        <v>11160</v>
      </c>
      <c r="F695" s="10" t="s">
        <v>74</v>
      </c>
      <c r="G695" s="10" t="str">
        <f t="shared" si="4"/>
        <v>11160A</v>
      </c>
    </row>
    <row r="696" spans="1:7" x14ac:dyDescent="0.25">
      <c r="A696">
        <f>IF(AND(Sheet2!B696=Sheet1!B$19,Sheet2!C696=Sheet1!C$19,Sheet2!D696=Sheet1!D$19),1,0)</f>
        <v>0</v>
      </c>
      <c r="B696" s="10" t="s">
        <v>215</v>
      </c>
      <c r="C696" s="11">
        <v>0.5</v>
      </c>
      <c r="D696" s="22">
        <v>9</v>
      </c>
      <c r="E696" s="22">
        <v>11161</v>
      </c>
      <c r="F696" s="10" t="s">
        <v>74</v>
      </c>
      <c r="G696" s="10" t="str">
        <f t="shared" si="4"/>
        <v>11161A</v>
      </c>
    </row>
    <row r="697" spans="1:7" x14ac:dyDescent="0.25">
      <c r="A697">
        <f>IF(AND(Sheet2!B697=Sheet1!B$19,Sheet2!C697=Sheet1!C$19,Sheet2!D697=Sheet1!D$19),1,0)</f>
        <v>0</v>
      </c>
      <c r="B697" s="10" t="s">
        <v>215</v>
      </c>
      <c r="C697" s="11">
        <v>0.5</v>
      </c>
      <c r="D697" s="22">
        <v>10</v>
      </c>
      <c r="E697" s="22">
        <v>11162</v>
      </c>
      <c r="F697" s="10" t="s">
        <v>74</v>
      </c>
      <c r="G697" s="10" t="str">
        <f t="shared" si="4"/>
        <v>11162A</v>
      </c>
    </row>
    <row r="698" spans="1:7" x14ac:dyDescent="0.25">
      <c r="A698">
        <f>IF(AND(Sheet2!B698=Sheet1!B$19,Sheet2!C698=Sheet1!C$19,Sheet2!D698=Sheet1!D$19),1,0)</f>
        <v>0</v>
      </c>
      <c r="B698" s="10" t="s">
        <v>215</v>
      </c>
      <c r="C698" s="11">
        <v>0.5</v>
      </c>
      <c r="D698" s="22">
        <v>11</v>
      </c>
      <c r="E698" s="22">
        <v>11163</v>
      </c>
      <c r="F698" s="10" t="s">
        <v>74</v>
      </c>
      <c r="G698" s="10" t="str">
        <f t="shared" si="4"/>
        <v>11163A</v>
      </c>
    </row>
    <row r="699" spans="1:7" x14ac:dyDescent="0.25">
      <c r="A699">
        <f>IF(AND(Sheet2!B699=Sheet1!B$19,Sheet2!C699=Sheet1!C$19,Sheet2!D699=Sheet1!D$19),1,0)</f>
        <v>0</v>
      </c>
      <c r="B699" s="10" t="s">
        <v>215</v>
      </c>
      <c r="C699" s="11">
        <v>0.5</v>
      </c>
      <c r="D699" s="22">
        <v>12</v>
      </c>
      <c r="E699" s="22">
        <v>11164</v>
      </c>
      <c r="F699" s="10" t="s">
        <v>74</v>
      </c>
      <c r="G699" s="10" t="str">
        <f t="shared" si="4"/>
        <v>11164A</v>
      </c>
    </row>
    <row r="700" spans="1:7" x14ac:dyDescent="0.25">
      <c r="A700">
        <f>IF(AND(Sheet2!B700=Sheet1!B$19,Sheet2!C700=Sheet1!C$19,Sheet2!D700=Sheet1!D$19),1,0)</f>
        <v>0</v>
      </c>
      <c r="B700" s="10" t="s">
        <v>215</v>
      </c>
      <c r="C700" s="11">
        <v>0.5</v>
      </c>
      <c r="D700" s="22">
        <v>13</v>
      </c>
      <c r="E700" s="22">
        <v>11165</v>
      </c>
      <c r="F700" s="10" t="s">
        <v>74</v>
      </c>
      <c r="G700" s="10" t="str">
        <f t="shared" si="4"/>
        <v>11165A</v>
      </c>
    </row>
    <row r="701" spans="1:7" x14ac:dyDescent="0.25">
      <c r="A701">
        <f>IF(AND(Sheet2!B701=Sheet1!B$19,Sheet2!C701=Sheet1!C$19,Sheet2!D701=Sheet1!D$19),1,0)</f>
        <v>0</v>
      </c>
      <c r="B701" s="10" t="s">
        <v>215</v>
      </c>
      <c r="C701" s="11">
        <v>0.5</v>
      </c>
      <c r="D701" s="22">
        <v>14</v>
      </c>
      <c r="E701" s="22">
        <v>11166</v>
      </c>
      <c r="F701" s="10" t="s">
        <v>74</v>
      </c>
      <c r="G701" s="10" t="str">
        <f t="shared" si="4"/>
        <v>11166A</v>
      </c>
    </row>
    <row r="702" spans="1:7" x14ac:dyDescent="0.25">
      <c r="A702">
        <f>IF(AND(Sheet2!B702=Sheet1!B$19,Sheet2!C702=Sheet1!C$19,Sheet2!D702=Sheet1!D$19),1,0)</f>
        <v>0</v>
      </c>
      <c r="B702" s="10" t="s">
        <v>215</v>
      </c>
      <c r="C702" s="11">
        <v>0.5</v>
      </c>
      <c r="D702" s="22">
        <v>15</v>
      </c>
      <c r="E702" s="22">
        <v>11167</v>
      </c>
      <c r="F702" s="10" t="s">
        <v>74</v>
      </c>
      <c r="G702" s="10" t="str">
        <f t="shared" si="4"/>
        <v>11167A</v>
      </c>
    </row>
    <row r="703" spans="1:7" x14ac:dyDescent="0.25">
      <c r="A703">
        <f>IF(AND(Sheet2!B703=Sheet1!B$19,Sheet2!C703=Sheet1!C$19,Sheet2!D703=Sheet1!D$19),1,0)</f>
        <v>0</v>
      </c>
      <c r="B703" s="10" t="s">
        <v>215</v>
      </c>
      <c r="C703" s="11">
        <v>0.5</v>
      </c>
      <c r="D703" s="22">
        <v>16</v>
      </c>
      <c r="E703" s="22">
        <v>11168</v>
      </c>
      <c r="F703" s="10" t="s">
        <v>74</v>
      </c>
      <c r="G703" s="10" t="str">
        <f t="shared" si="4"/>
        <v>11168A</v>
      </c>
    </row>
    <row r="704" spans="1:7" x14ac:dyDescent="0.25">
      <c r="A704">
        <f>IF(AND(Sheet2!B704=Sheet1!B$19,Sheet2!C704=Sheet1!C$19,Sheet2!D704=Sheet1!D$19),1,0)</f>
        <v>0</v>
      </c>
      <c r="B704" s="10" t="s">
        <v>215</v>
      </c>
      <c r="C704" s="11">
        <v>0.5</v>
      </c>
      <c r="D704" s="22">
        <v>17</v>
      </c>
      <c r="E704" s="22">
        <v>11169</v>
      </c>
      <c r="F704" s="10" t="s">
        <v>74</v>
      </c>
      <c r="G704" s="10" t="str">
        <f t="shared" si="4"/>
        <v>11169A</v>
      </c>
    </row>
    <row r="705" spans="1:7" x14ac:dyDescent="0.25">
      <c r="A705">
        <f>IF(AND(Sheet2!B705=Sheet1!B$19,Sheet2!C705=Sheet1!C$19,Sheet2!D705=Sheet1!D$19),1,0)</f>
        <v>0</v>
      </c>
      <c r="B705" s="10" t="s">
        <v>215</v>
      </c>
      <c r="C705" s="11">
        <v>0.5</v>
      </c>
      <c r="D705" s="22">
        <v>18</v>
      </c>
      <c r="E705" s="22">
        <v>11170</v>
      </c>
      <c r="F705" s="10" t="s">
        <v>74</v>
      </c>
      <c r="G705" s="10" t="str">
        <f t="shared" si="4"/>
        <v>11170A</v>
      </c>
    </row>
    <row r="706" spans="1:7" x14ac:dyDescent="0.25">
      <c r="A706">
        <f>IF(AND(Sheet2!B706=Sheet1!B$19,Sheet2!C706=Sheet1!C$19,Sheet2!D706=Sheet1!D$19),1,0)</f>
        <v>0</v>
      </c>
      <c r="B706" s="10" t="s">
        <v>215</v>
      </c>
      <c r="C706" s="11">
        <v>0.5</v>
      </c>
      <c r="D706" s="22">
        <v>19</v>
      </c>
      <c r="E706" s="22">
        <v>11171</v>
      </c>
      <c r="F706" s="10" t="s">
        <v>74</v>
      </c>
      <c r="G706" s="10" t="str">
        <f t="shared" si="4"/>
        <v>11171A</v>
      </c>
    </row>
    <row r="707" spans="1:7" x14ac:dyDescent="0.25">
      <c r="A707">
        <f>IF(AND(Sheet2!B707=Sheet1!B$19,Sheet2!C707=Sheet1!C$19,Sheet2!D707=Sheet1!D$19),1,0)</f>
        <v>0</v>
      </c>
      <c r="B707" s="10" t="s">
        <v>215</v>
      </c>
      <c r="C707" s="11">
        <v>0.5</v>
      </c>
      <c r="D707" s="22">
        <v>20</v>
      </c>
      <c r="E707" s="22">
        <v>11172</v>
      </c>
      <c r="F707" s="10" t="s">
        <v>74</v>
      </c>
      <c r="G707" s="10" t="str">
        <f t="shared" si="4"/>
        <v>11172A</v>
      </c>
    </row>
    <row r="708" spans="1:7" x14ac:dyDescent="0.25">
      <c r="A708">
        <f>IF(AND(Sheet2!B708=Sheet1!B$19,Sheet2!C708=Sheet1!C$19,Sheet2!D708=Sheet1!D$19),1,0)</f>
        <v>0</v>
      </c>
      <c r="B708" s="10" t="s">
        <v>215</v>
      </c>
      <c r="C708" s="11">
        <v>0.5</v>
      </c>
      <c r="D708" s="22">
        <v>21</v>
      </c>
      <c r="E708" s="22">
        <v>11506</v>
      </c>
      <c r="F708" s="10" t="s">
        <v>74</v>
      </c>
      <c r="G708" s="10" t="str">
        <f t="shared" si="4"/>
        <v>11506A</v>
      </c>
    </row>
    <row r="709" spans="1:7" x14ac:dyDescent="0.25">
      <c r="A709">
        <f>IF(AND(Sheet2!B709=Sheet1!B$19,Sheet2!C709=Sheet1!C$19,Sheet2!D709=Sheet1!D$19),1,0)</f>
        <v>0</v>
      </c>
      <c r="B709" s="10" t="s">
        <v>215</v>
      </c>
      <c r="C709" s="11">
        <v>0.5</v>
      </c>
      <c r="D709" s="22">
        <v>22</v>
      </c>
      <c r="E709" s="22">
        <v>11507</v>
      </c>
      <c r="F709" s="10" t="s">
        <v>74</v>
      </c>
      <c r="G709" s="10" t="str">
        <f t="shared" si="4"/>
        <v>11507A</v>
      </c>
    </row>
    <row r="710" spans="1:7" x14ac:dyDescent="0.25">
      <c r="A710">
        <f>IF(AND(Sheet2!B710=Sheet1!B$19,Sheet2!C710=Sheet1!C$19,Sheet2!D710=Sheet1!D$19),1,0)</f>
        <v>0</v>
      </c>
      <c r="B710" s="10" t="s">
        <v>215</v>
      </c>
      <c r="C710" s="11">
        <v>0.5</v>
      </c>
      <c r="D710" s="22">
        <v>23</v>
      </c>
      <c r="E710" s="22">
        <v>11508</v>
      </c>
      <c r="F710" s="10" t="s">
        <v>74</v>
      </c>
      <c r="G710" s="10" t="str">
        <f t="shared" si="4"/>
        <v>11508A</v>
      </c>
    </row>
    <row r="711" spans="1:7" x14ac:dyDescent="0.25">
      <c r="A711">
        <f>IF(AND(Sheet2!B711=Sheet1!B$19,Sheet2!C711=Sheet1!C$19,Sheet2!D711=Sheet1!D$19),1,0)</f>
        <v>0</v>
      </c>
      <c r="B711" s="10" t="s">
        <v>215</v>
      </c>
      <c r="C711" s="11">
        <v>0.5</v>
      </c>
      <c r="D711" s="22">
        <v>24</v>
      </c>
      <c r="E711" s="22">
        <v>11509</v>
      </c>
      <c r="F711" s="10" t="s">
        <v>74</v>
      </c>
      <c r="G711" s="10" t="str">
        <f t="shared" si="4"/>
        <v>11509A</v>
      </c>
    </row>
    <row r="712" spans="1:7" x14ac:dyDescent="0.25">
      <c r="A712">
        <f>IF(AND(Sheet2!B712=Sheet1!B$19,Sheet2!C712=Sheet1!C$19,Sheet2!D712=Sheet1!D$19),1,0)</f>
        <v>0</v>
      </c>
      <c r="B712" s="10" t="s">
        <v>215</v>
      </c>
      <c r="C712" s="11">
        <v>0.5</v>
      </c>
      <c r="D712" s="22">
        <v>25</v>
      </c>
      <c r="E712" s="22">
        <v>11510</v>
      </c>
      <c r="F712" s="10" t="s">
        <v>74</v>
      </c>
      <c r="G712" s="10" t="str">
        <f t="shared" si="4"/>
        <v>11510A</v>
      </c>
    </row>
    <row r="713" spans="1:7" x14ac:dyDescent="0.25">
      <c r="A713">
        <f>IF(AND(Sheet2!B713=Sheet1!B$19,Sheet2!C713=Sheet1!C$19,Sheet2!D713=Sheet1!D$19),1,0)</f>
        <v>0</v>
      </c>
      <c r="B713" s="10" t="s">
        <v>215</v>
      </c>
      <c r="C713" s="11">
        <v>0.5</v>
      </c>
      <c r="D713" s="22">
        <v>26</v>
      </c>
      <c r="E713" s="22">
        <v>11511</v>
      </c>
      <c r="F713" s="10" t="s">
        <v>74</v>
      </c>
      <c r="G713" s="10" t="str">
        <f t="shared" si="4"/>
        <v>11511A</v>
      </c>
    </row>
    <row r="714" spans="1:7" x14ac:dyDescent="0.25">
      <c r="A714">
        <f>IF(AND(Sheet2!B714=Sheet1!B$19,Sheet2!C714=Sheet1!C$19,Sheet2!D714=Sheet1!D$19),1,0)</f>
        <v>0</v>
      </c>
      <c r="B714" s="10" t="s">
        <v>215</v>
      </c>
      <c r="C714" s="11">
        <v>0.5</v>
      </c>
      <c r="D714" s="22">
        <v>27</v>
      </c>
      <c r="E714" s="22">
        <v>11512</v>
      </c>
      <c r="F714" s="10" t="s">
        <v>74</v>
      </c>
      <c r="G714" s="10" t="str">
        <f t="shared" si="4"/>
        <v>11512A</v>
      </c>
    </row>
    <row r="715" spans="1:7" x14ac:dyDescent="0.25">
      <c r="A715">
        <f>IF(AND(Sheet2!B715=Sheet1!B$19,Sheet2!C715=Sheet1!C$19,Sheet2!D715=Sheet1!D$19),1,0)</f>
        <v>0</v>
      </c>
      <c r="B715" s="10" t="s">
        <v>215</v>
      </c>
      <c r="C715" s="11">
        <v>0.5</v>
      </c>
      <c r="D715" s="22">
        <v>28</v>
      </c>
      <c r="E715" s="22">
        <v>11513</v>
      </c>
      <c r="F715" s="10" t="s">
        <v>74</v>
      </c>
      <c r="G715" s="10" t="str">
        <f t="shared" si="4"/>
        <v>11513A</v>
      </c>
    </row>
    <row r="716" spans="1:7" x14ac:dyDescent="0.25">
      <c r="A716">
        <f>IF(AND(Sheet2!B716=Sheet1!B$19,Sheet2!C716=Sheet1!C$19,Sheet2!D716=Sheet1!D$19),1,0)</f>
        <v>0</v>
      </c>
      <c r="B716" s="10" t="s">
        <v>215</v>
      </c>
      <c r="C716" s="11">
        <v>0.5</v>
      </c>
      <c r="D716" s="22">
        <v>29</v>
      </c>
      <c r="E716" s="22">
        <v>11514</v>
      </c>
      <c r="F716" s="10" t="s">
        <v>74</v>
      </c>
      <c r="G716" s="10" t="str">
        <f t="shared" si="4"/>
        <v>11514A</v>
      </c>
    </row>
    <row r="717" spans="1:7" x14ac:dyDescent="0.25">
      <c r="A717">
        <f>IF(AND(Sheet2!B717=Sheet1!B$19,Sheet2!C717=Sheet1!C$19,Sheet2!D717=Sheet1!D$19),1,0)</f>
        <v>0</v>
      </c>
      <c r="B717" s="10" t="s">
        <v>215</v>
      </c>
      <c r="C717" s="11">
        <v>0.5</v>
      </c>
      <c r="D717" s="22">
        <v>30</v>
      </c>
      <c r="E717" s="22">
        <v>11515</v>
      </c>
      <c r="F717" s="10" t="s">
        <v>74</v>
      </c>
      <c r="G717" s="10" t="str">
        <f t="shared" si="4"/>
        <v>11515A</v>
      </c>
    </row>
    <row r="718" spans="1:7" x14ac:dyDescent="0.25">
      <c r="A718">
        <f>IF(AND(Sheet2!B718=Sheet1!B$19,Sheet2!C718=Sheet1!C$19,Sheet2!D718=Sheet1!D$19),1,0)</f>
        <v>0</v>
      </c>
      <c r="B718" s="10" t="s">
        <v>215</v>
      </c>
      <c r="C718" s="11">
        <v>0.5</v>
      </c>
      <c r="D718" s="22">
        <v>31</v>
      </c>
      <c r="E718" s="22">
        <v>11516</v>
      </c>
      <c r="F718" s="10" t="s">
        <v>74</v>
      </c>
      <c r="G718" s="10" t="str">
        <f t="shared" si="4"/>
        <v>11516A</v>
      </c>
    </row>
    <row r="719" spans="1:7" x14ac:dyDescent="0.25">
      <c r="A719">
        <f>IF(AND(Sheet2!B719=Sheet1!B$19,Sheet2!C719=Sheet1!C$19,Sheet2!D719=Sheet1!D$19),1,0)</f>
        <v>0</v>
      </c>
      <c r="B719" s="10" t="s">
        <v>215</v>
      </c>
      <c r="C719" s="11">
        <v>0.5</v>
      </c>
      <c r="D719" s="22">
        <v>32</v>
      </c>
      <c r="E719" s="22">
        <v>11517</v>
      </c>
      <c r="F719" s="10" t="s">
        <v>74</v>
      </c>
      <c r="G719" s="10" t="str">
        <f t="shared" si="4"/>
        <v>11517A</v>
      </c>
    </row>
    <row r="720" spans="1:7" x14ac:dyDescent="0.25">
      <c r="A720">
        <f>IF(AND(Sheet2!B720=Sheet1!B$19,Sheet2!C720=Sheet1!C$19,Sheet2!D720=Sheet1!D$19),1,0)</f>
        <v>0</v>
      </c>
      <c r="B720" s="10" t="s">
        <v>215</v>
      </c>
      <c r="C720" s="11">
        <v>0.5</v>
      </c>
      <c r="D720" s="22">
        <v>33</v>
      </c>
      <c r="E720" s="22">
        <v>11518</v>
      </c>
      <c r="F720" s="10" t="s">
        <v>74</v>
      </c>
      <c r="G720" s="10" t="str">
        <f t="shared" si="4"/>
        <v>11518A</v>
      </c>
    </row>
    <row r="721" spans="1:7" x14ac:dyDescent="0.25">
      <c r="A721">
        <f>IF(AND(Sheet2!B721=Sheet1!B$19,Sheet2!C721=Sheet1!C$19,Sheet2!D721=Sheet1!D$19),1,0)</f>
        <v>0</v>
      </c>
      <c r="B721" s="10" t="s">
        <v>215</v>
      </c>
      <c r="C721" s="11">
        <v>0.5</v>
      </c>
      <c r="D721" s="22">
        <v>34</v>
      </c>
      <c r="E721" s="22">
        <v>11519</v>
      </c>
      <c r="F721" s="10" t="s">
        <v>74</v>
      </c>
      <c r="G721" s="10" t="str">
        <f t="shared" si="4"/>
        <v>11519A</v>
      </c>
    </row>
    <row r="722" spans="1:7" x14ac:dyDescent="0.25">
      <c r="A722">
        <f>IF(AND(Sheet2!B722=Sheet1!B$19,Sheet2!C722=Sheet1!C$19,Sheet2!D722=Sheet1!D$19),1,0)</f>
        <v>0</v>
      </c>
      <c r="B722" s="10" t="s">
        <v>215</v>
      </c>
      <c r="C722" s="11">
        <v>0.5</v>
      </c>
      <c r="D722" s="22">
        <v>35</v>
      </c>
      <c r="E722" s="22">
        <v>11520</v>
      </c>
      <c r="F722" s="10" t="s">
        <v>74</v>
      </c>
      <c r="G722" s="10" t="str">
        <f t="shared" si="4"/>
        <v>11520A</v>
      </c>
    </row>
    <row r="723" spans="1:7" x14ac:dyDescent="0.25">
      <c r="A723">
        <f>IF(AND(Sheet2!B723=Sheet1!B$19,Sheet2!C723=Sheet1!C$19,Sheet2!D723=Sheet1!D$19),1,0)</f>
        <v>0</v>
      </c>
      <c r="B723" s="10" t="s">
        <v>215</v>
      </c>
      <c r="C723" s="11">
        <v>0.5</v>
      </c>
      <c r="D723" s="22">
        <v>36</v>
      </c>
      <c r="E723" s="22">
        <v>11521</v>
      </c>
      <c r="F723" s="10" t="s">
        <v>74</v>
      </c>
      <c r="G723" s="10" t="str">
        <f t="shared" si="4"/>
        <v>11521A</v>
      </c>
    </row>
    <row r="724" spans="1:7" x14ac:dyDescent="0.25">
      <c r="A724">
        <f>IF(AND(Sheet2!B724=Sheet1!B$19,Sheet2!C724=Sheet1!C$19,Sheet2!D724=Sheet1!D$19),1,0)</f>
        <v>0</v>
      </c>
      <c r="B724" s="10" t="s">
        <v>215</v>
      </c>
      <c r="C724" s="11">
        <v>0.5</v>
      </c>
      <c r="D724" s="22">
        <v>37</v>
      </c>
      <c r="E724" s="22">
        <v>11522</v>
      </c>
      <c r="F724" s="10" t="s">
        <v>74</v>
      </c>
      <c r="G724" s="10" t="str">
        <f t="shared" si="4"/>
        <v>11522A</v>
      </c>
    </row>
    <row r="725" spans="1:7" x14ac:dyDescent="0.25">
      <c r="A725">
        <f>IF(AND(Sheet2!B725=Sheet1!B$19,Sheet2!C725=Sheet1!C$19,Sheet2!D725=Sheet1!D$19),1,0)</f>
        <v>0</v>
      </c>
      <c r="B725" s="10" t="s">
        <v>215</v>
      </c>
      <c r="C725" s="11">
        <v>0.5</v>
      </c>
      <c r="D725" s="22">
        <v>38</v>
      </c>
      <c r="E725" s="22">
        <v>11523</v>
      </c>
      <c r="F725" s="10" t="s">
        <v>74</v>
      </c>
      <c r="G725" s="10" t="str">
        <f t="shared" si="4"/>
        <v>11523A</v>
      </c>
    </row>
    <row r="726" spans="1:7" x14ac:dyDescent="0.25">
      <c r="A726">
        <f>IF(AND(Sheet2!B726=Sheet1!B$19,Sheet2!C726=Sheet1!C$19,Sheet2!D726=Sheet1!D$19),1,0)</f>
        <v>0</v>
      </c>
      <c r="B726" s="10" t="s">
        <v>215</v>
      </c>
      <c r="C726" s="11">
        <v>0.5</v>
      </c>
      <c r="D726" s="22">
        <v>39</v>
      </c>
      <c r="E726" s="22">
        <v>11524</v>
      </c>
      <c r="F726" s="10" t="s">
        <v>74</v>
      </c>
      <c r="G726" s="10" t="str">
        <f t="shared" si="4"/>
        <v>11524A</v>
      </c>
    </row>
    <row r="727" spans="1:7" x14ac:dyDescent="0.25">
      <c r="A727">
        <f>IF(AND(Sheet2!B727=Sheet1!B$19,Sheet2!C727=Sheet1!C$19,Sheet2!D727=Sheet1!D$19),1,0)</f>
        <v>0</v>
      </c>
      <c r="B727" s="10" t="s">
        <v>215</v>
      </c>
      <c r="C727" s="11">
        <v>0.5</v>
      </c>
      <c r="D727" s="22">
        <v>40</v>
      </c>
      <c r="E727" s="22">
        <v>11525</v>
      </c>
      <c r="F727" s="10" t="s">
        <v>74</v>
      </c>
      <c r="G727" s="10" t="str">
        <f t="shared" si="4"/>
        <v>11525A</v>
      </c>
    </row>
    <row r="728" spans="1:7" x14ac:dyDescent="0.25">
      <c r="A728">
        <f>IF(AND(Sheet2!B728=Sheet1!B$19,Sheet2!C728=Sheet1!C$19,Sheet2!D728=Sheet1!D$19),1,0)</f>
        <v>0</v>
      </c>
      <c r="B728" s="10" t="s">
        <v>215</v>
      </c>
      <c r="C728" s="11">
        <v>0.5</v>
      </c>
      <c r="D728" s="22">
        <v>41</v>
      </c>
      <c r="E728" s="22">
        <v>11526</v>
      </c>
      <c r="F728" s="10" t="s">
        <v>74</v>
      </c>
      <c r="G728" s="10" t="str">
        <f t="shared" si="4"/>
        <v>11526A</v>
      </c>
    </row>
    <row r="729" spans="1:7" x14ac:dyDescent="0.25">
      <c r="A729">
        <f>IF(AND(Sheet2!B729=Sheet1!B$19,Sheet2!C729=Sheet1!C$19,Sheet2!D729=Sheet1!D$19),1,0)</f>
        <v>0</v>
      </c>
      <c r="B729" s="10" t="s">
        <v>215</v>
      </c>
      <c r="C729" s="11">
        <v>0.5</v>
      </c>
      <c r="D729" s="22">
        <v>42</v>
      </c>
      <c r="E729" s="22">
        <v>11527</v>
      </c>
      <c r="F729" s="10" t="s">
        <v>74</v>
      </c>
      <c r="G729" s="10" t="str">
        <f t="shared" si="4"/>
        <v>11527A</v>
      </c>
    </row>
    <row r="730" spans="1:7" x14ac:dyDescent="0.25">
      <c r="A730">
        <f>IF(AND(Sheet2!B730=Sheet1!B$19,Sheet2!C730=Sheet1!C$19,Sheet2!D730=Sheet1!D$19),1,0)</f>
        <v>0</v>
      </c>
      <c r="B730" s="10" t="s">
        <v>215</v>
      </c>
      <c r="C730" s="11">
        <v>0.5</v>
      </c>
      <c r="D730" s="22">
        <v>43</v>
      </c>
      <c r="E730" s="22">
        <v>11528</v>
      </c>
      <c r="F730" s="10" t="s">
        <v>74</v>
      </c>
      <c r="G730" s="10" t="str">
        <f t="shared" si="4"/>
        <v>11528A</v>
      </c>
    </row>
    <row r="731" spans="1:7" x14ac:dyDescent="0.25">
      <c r="A731">
        <f>IF(AND(Sheet2!B731=Sheet1!B$19,Sheet2!C731=Sheet1!C$19,Sheet2!D731=Sheet1!D$19),1,0)</f>
        <v>0</v>
      </c>
      <c r="B731" s="10" t="s">
        <v>215</v>
      </c>
      <c r="C731" s="11">
        <v>0.5</v>
      </c>
      <c r="D731" s="22">
        <v>44</v>
      </c>
      <c r="E731" s="22">
        <v>11529</v>
      </c>
      <c r="F731" s="10" t="s">
        <v>74</v>
      </c>
      <c r="G731" s="10" t="str">
        <f t="shared" si="4"/>
        <v>11529A</v>
      </c>
    </row>
    <row r="732" spans="1:7" x14ac:dyDescent="0.25">
      <c r="A732">
        <f>IF(AND(Sheet2!B732=Sheet1!B$19,Sheet2!C732=Sheet1!C$19,Sheet2!D732=Sheet1!D$19),1,0)</f>
        <v>0</v>
      </c>
      <c r="B732" s="10" t="s">
        <v>215</v>
      </c>
      <c r="C732" s="11">
        <v>0.5</v>
      </c>
      <c r="D732" s="22">
        <v>45</v>
      </c>
      <c r="E732" s="22">
        <v>11530</v>
      </c>
      <c r="F732" s="10" t="s">
        <v>74</v>
      </c>
      <c r="G732" s="10" t="str">
        <f t="shared" si="4"/>
        <v>11530A</v>
      </c>
    </row>
    <row r="733" spans="1:7" x14ac:dyDescent="0.25">
      <c r="A733">
        <f>IF(AND(Sheet2!B733=Sheet1!B$19,Sheet2!C733=Sheet1!C$19,Sheet2!D733=Sheet1!D$19),1,0)</f>
        <v>0</v>
      </c>
      <c r="B733" s="10" t="s">
        <v>215</v>
      </c>
      <c r="C733" s="11">
        <v>0.5</v>
      </c>
      <c r="D733" s="22">
        <v>46</v>
      </c>
      <c r="E733" s="22">
        <v>11531</v>
      </c>
      <c r="F733" s="10" t="s">
        <v>74</v>
      </c>
      <c r="G733" s="10" t="str">
        <f t="shared" si="4"/>
        <v>11531A</v>
      </c>
    </row>
    <row r="734" spans="1:7" x14ac:dyDescent="0.25">
      <c r="A734">
        <f>IF(AND(Sheet2!B734=Sheet1!B$19,Sheet2!C734=Sheet1!C$19,Sheet2!D734=Sheet1!D$19),1,0)</f>
        <v>0</v>
      </c>
      <c r="B734" s="10" t="s">
        <v>215</v>
      </c>
      <c r="C734" s="11">
        <v>0.5</v>
      </c>
      <c r="D734" s="22">
        <v>47</v>
      </c>
      <c r="E734" s="22">
        <v>11532</v>
      </c>
      <c r="F734" s="10" t="s">
        <v>74</v>
      </c>
      <c r="G734" s="10" t="str">
        <f t="shared" si="4"/>
        <v>11532A</v>
      </c>
    </row>
    <row r="735" spans="1:7" x14ac:dyDescent="0.25">
      <c r="A735">
        <f>IF(AND(Sheet2!B735=Sheet1!B$19,Sheet2!C735=Sheet1!C$19,Sheet2!D735=Sheet1!D$19),1,0)</f>
        <v>0</v>
      </c>
      <c r="B735" s="10" t="s">
        <v>215</v>
      </c>
      <c r="C735" s="11">
        <v>0.5</v>
      </c>
      <c r="D735" s="22">
        <v>48</v>
      </c>
      <c r="E735" s="22">
        <v>11533</v>
      </c>
      <c r="F735" s="10" t="s">
        <v>74</v>
      </c>
      <c r="G735" s="10" t="str">
        <f t="shared" si="4"/>
        <v>11533A</v>
      </c>
    </row>
    <row r="736" spans="1:7" x14ac:dyDescent="0.25">
      <c r="A736">
        <f>IF(AND(Sheet2!B736=Sheet1!B$19,Sheet2!C736=Sheet1!C$19,Sheet2!D736=Sheet1!D$19),1,0)</f>
        <v>0</v>
      </c>
      <c r="B736" s="10" t="s">
        <v>215</v>
      </c>
      <c r="C736" s="11">
        <v>0.5</v>
      </c>
      <c r="D736" s="22">
        <v>49</v>
      </c>
      <c r="E736" s="22">
        <v>11534</v>
      </c>
      <c r="F736" s="10" t="s">
        <v>74</v>
      </c>
      <c r="G736" s="10" t="str">
        <f t="shared" si="4"/>
        <v>11534A</v>
      </c>
    </row>
    <row r="737" spans="1:7" x14ac:dyDescent="0.25">
      <c r="A737">
        <f>IF(AND(Sheet2!B737=Sheet1!B$19,Sheet2!C737=Sheet1!C$19,Sheet2!D737=Sheet1!D$19),1,0)</f>
        <v>0</v>
      </c>
      <c r="B737" s="10" t="s">
        <v>215</v>
      </c>
      <c r="C737" s="11">
        <v>0.5</v>
      </c>
      <c r="D737" s="22">
        <v>50</v>
      </c>
      <c r="E737" s="22">
        <v>11535</v>
      </c>
      <c r="F737" s="10" t="s">
        <v>74</v>
      </c>
      <c r="G737" s="10" t="str">
        <f t="shared" si="4"/>
        <v>11535A</v>
      </c>
    </row>
    <row r="738" spans="1:7" x14ac:dyDescent="0.25">
      <c r="A738">
        <f>IF(AND(Sheet2!B738=Sheet1!B$19,Sheet2!C738=Sheet1!C$19,Sheet2!D738=Sheet1!D$19),1,0)</f>
        <v>0</v>
      </c>
      <c r="B738" s="10" t="s">
        <v>215</v>
      </c>
      <c r="C738" s="11">
        <v>0.5</v>
      </c>
      <c r="D738" s="22">
        <v>51</v>
      </c>
      <c r="E738" s="22">
        <v>11536</v>
      </c>
      <c r="F738" s="10" t="s">
        <v>74</v>
      </c>
      <c r="G738" s="10" t="str">
        <f t="shared" si="4"/>
        <v>11536A</v>
      </c>
    </row>
    <row r="739" spans="1:7" x14ac:dyDescent="0.25">
      <c r="A739">
        <f>IF(AND(Sheet2!B739=Sheet1!B$19,Sheet2!C739=Sheet1!C$19,Sheet2!D739=Sheet1!D$19),1,0)</f>
        <v>0</v>
      </c>
      <c r="B739" s="10" t="s">
        <v>215</v>
      </c>
      <c r="C739" s="11">
        <v>0.5</v>
      </c>
      <c r="D739" s="22">
        <v>52</v>
      </c>
      <c r="E739" s="22">
        <v>11537</v>
      </c>
      <c r="F739" s="10" t="s">
        <v>74</v>
      </c>
      <c r="G739" s="10" t="str">
        <f t="shared" si="4"/>
        <v>11537A</v>
      </c>
    </row>
    <row r="740" spans="1:7" x14ac:dyDescent="0.25">
      <c r="A740">
        <f>IF(AND(Sheet2!B740=Sheet1!B$19,Sheet2!C740=Sheet1!C$19,Sheet2!D740=Sheet1!D$19),1,0)</f>
        <v>0</v>
      </c>
      <c r="B740" s="10" t="s">
        <v>215</v>
      </c>
      <c r="C740" s="11">
        <v>0.5</v>
      </c>
      <c r="D740" s="22">
        <v>53</v>
      </c>
      <c r="E740" s="22">
        <v>11538</v>
      </c>
      <c r="F740" s="10" t="s">
        <v>74</v>
      </c>
      <c r="G740" s="10" t="str">
        <f t="shared" si="4"/>
        <v>11538A</v>
      </c>
    </row>
    <row r="741" spans="1:7" x14ac:dyDescent="0.25">
      <c r="A741">
        <f>IF(AND(Sheet2!B741=Sheet1!B$19,Sheet2!C741=Sheet1!C$19,Sheet2!D741=Sheet1!D$19),1,0)</f>
        <v>0</v>
      </c>
      <c r="B741" s="10" t="s">
        <v>215</v>
      </c>
      <c r="C741" s="11">
        <v>0.5</v>
      </c>
      <c r="D741" s="22">
        <v>54</v>
      </c>
      <c r="E741" s="22">
        <v>11539</v>
      </c>
      <c r="F741" s="10" t="s">
        <v>74</v>
      </c>
      <c r="G741" s="10" t="str">
        <f t="shared" si="4"/>
        <v>11539A</v>
      </c>
    </row>
    <row r="742" spans="1:7" x14ac:dyDescent="0.25">
      <c r="A742">
        <f>IF(AND(Sheet2!B742=Sheet1!B$19,Sheet2!C742=Sheet1!C$19,Sheet2!D742=Sheet1!D$19),1,0)</f>
        <v>0</v>
      </c>
      <c r="B742" s="10" t="s">
        <v>215</v>
      </c>
      <c r="C742" s="11">
        <v>0.5</v>
      </c>
      <c r="D742" s="22">
        <v>55</v>
      </c>
      <c r="E742" s="22">
        <v>11540</v>
      </c>
      <c r="F742" s="10" t="s">
        <v>74</v>
      </c>
      <c r="G742" s="10" t="str">
        <f t="shared" si="4"/>
        <v>11540A</v>
      </c>
    </row>
    <row r="743" spans="1:7" x14ac:dyDescent="0.25">
      <c r="A743">
        <f>IF(AND(Sheet2!B743=Sheet1!B$19,Sheet2!C743=Sheet1!C$19,Sheet2!D743=Sheet1!D$19),1,0)</f>
        <v>0</v>
      </c>
      <c r="B743" s="10" t="s">
        <v>215</v>
      </c>
      <c r="C743" s="11">
        <v>0.5</v>
      </c>
      <c r="D743" s="22">
        <v>56</v>
      </c>
      <c r="E743" s="22">
        <v>11541</v>
      </c>
      <c r="F743" s="10" t="s">
        <v>74</v>
      </c>
      <c r="G743" s="10" t="str">
        <f t="shared" si="4"/>
        <v>11541A</v>
      </c>
    </row>
    <row r="744" spans="1:7" x14ac:dyDescent="0.25">
      <c r="A744">
        <f>IF(AND(Sheet2!B744=Sheet1!B$19,Sheet2!C744=Sheet1!C$19,Sheet2!D744=Sheet1!D$19),1,0)</f>
        <v>0</v>
      </c>
      <c r="B744" s="10" t="s">
        <v>215</v>
      </c>
      <c r="C744" s="11">
        <v>0.5</v>
      </c>
      <c r="D744" s="22">
        <v>57</v>
      </c>
      <c r="E744" s="22">
        <v>11542</v>
      </c>
      <c r="F744" s="10" t="s">
        <v>74</v>
      </c>
      <c r="G744" s="10" t="str">
        <f t="shared" si="4"/>
        <v>11542A</v>
      </c>
    </row>
    <row r="745" spans="1:7" x14ac:dyDescent="0.25">
      <c r="A745">
        <f>IF(AND(Sheet2!B745=Sheet1!B$19,Sheet2!C745=Sheet1!C$19,Sheet2!D745=Sheet1!D$19),1,0)</f>
        <v>0</v>
      </c>
      <c r="B745" s="10" t="s">
        <v>215</v>
      </c>
      <c r="C745" s="11">
        <v>0.5</v>
      </c>
      <c r="D745" s="22">
        <v>58</v>
      </c>
      <c r="E745" s="22">
        <v>11543</v>
      </c>
      <c r="F745" s="10" t="s">
        <v>74</v>
      </c>
      <c r="G745" s="10" t="str">
        <f t="shared" si="4"/>
        <v>11543A</v>
      </c>
    </row>
    <row r="746" spans="1:7" x14ac:dyDescent="0.25">
      <c r="A746">
        <f>IF(AND(Sheet2!B746=Sheet1!B$19,Sheet2!C746=Sheet1!C$19,Sheet2!D746=Sheet1!D$19),1,0)</f>
        <v>0</v>
      </c>
      <c r="B746" s="10" t="s">
        <v>215</v>
      </c>
      <c r="C746" s="11">
        <v>0.5</v>
      </c>
      <c r="D746" s="22">
        <v>59</v>
      </c>
      <c r="E746" s="22">
        <v>11544</v>
      </c>
      <c r="F746" s="10" t="s">
        <v>74</v>
      </c>
      <c r="G746" s="10" t="str">
        <f t="shared" si="4"/>
        <v>11544A</v>
      </c>
    </row>
    <row r="747" spans="1:7" x14ac:dyDescent="0.25">
      <c r="A747">
        <f>IF(AND(Sheet2!B747=Sheet1!B$19,Sheet2!C747=Sheet1!C$19,Sheet2!D747=Sheet1!D$19),1,0)</f>
        <v>0</v>
      </c>
      <c r="B747" s="10" t="s">
        <v>215</v>
      </c>
      <c r="C747" s="11">
        <v>0.5</v>
      </c>
      <c r="D747" s="22">
        <v>60</v>
      </c>
      <c r="E747" s="22">
        <v>11545</v>
      </c>
      <c r="F747" s="10" t="s">
        <v>74</v>
      </c>
      <c r="G747" s="10" t="str">
        <f t="shared" si="4"/>
        <v>11545A</v>
      </c>
    </row>
    <row r="748" spans="1:7" x14ac:dyDescent="0.25">
      <c r="A748">
        <f>IF(AND(Sheet2!B748=Sheet1!B$19,Sheet2!C748=Sheet1!C$19,Sheet2!D748=Sheet1!D$19),1,0)</f>
        <v>0</v>
      </c>
      <c r="B748" s="10" t="s">
        <v>215</v>
      </c>
      <c r="C748" s="11">
        <v>0.75</v>
      </c>
      <c r="D748" s="22">
        <v>2</v>
      </c>
      <c r="E748" s="22">
        <v>11173</v>
      </c>
      <c r="F748" s="10" t="s">
        <v>74</v>
      </c>
      <c r="G748" s="10" t="str">
        <f t="shared" si="4"/>
        <v>11173A</v>
      </c>
    </row>
    <row r="749" spans="1:7" x14ac:dyDescent="0.25">
      <c r="A749">
        <f>IF(AND(Sheet2!B749=Sheet1!B$19,Sheet2!C749=Sheet1!C$19,Sheet2!D749=Sheet1!D$19),1,0)</f>
        <v>0</v>
      </c>
      <c r="B749" s="10" t="s">
        <v>215</v>
      </c>
      <c r="C749" s="11">
        <v>0.75</v>
      </c>
      <c r="D749" s="22">
        <v>3</v>
      </c>
      <c r="E749" s="22">
        <v>11174</v>
      </c>
      <c r="F749" s="10" t="s">
        <v>74</v>
      </c>
      <c r="G749" s="10" t="str">
        <f t="shared" si="4"/>
        <v>11174A</v>
      </c>
    </row>
    <row r="750" spans="1:7" x14ac:dyDescent="0.25">
      <c r="A750">
        <f>IF(AND(Sheet2!B750=Sheet1!B$19,Sheet2!C750=Sheet1!C$19,Sheet2!D750=Sheet1!D$19),1,0)</f>
        <v>0</v>
      </c>
      <c r="B750" s="10" t="s">
        <v>215</v>
      </c>
      <c r="C750" s="11">
        <v>0.75</v>
      </c>
      <c r="D750" s="22">
        <v>4</v>
      </c>
      <c r="E750" s="22">
        <v>11175</v>
      </c>
      <c r="F750" s="10" t="s">
        <v>74</v>
      </c>
      <c r="G750" s="10" t="str">
        <f t="shared" si="4"/>
        <v>11175A</v>
      </c>
    </row>
    <row r="751" spans="1:7" x14ac:dyDescent="0.25">
      <c r="A751">
        <f>IF(AND(Sheet2!B751=Sheet1!B$19,Sheet2!C751=Sheet1!C$19,Sheet2!D751=Sheet1!D$19),1,0)</f>
        <v>0</v>
      </c>
      <c r="B751" s="10" t="s">
        <v>215</v>
      </c>
      <c r="C751" s="11">
        <v>0.75</v>
      </c>
      <c r="D751" s="22">
        <v>5</v>
      </c>
      <c r="E751" s="22">
        <v>11176</v>
      </c>
      <c r="F751" s="10" t="s">
        <v>74</v>
      </c>
      <c r="G751" s="10" t="str">
        <f t="shared" si="4"/>
        <v>11176A</v>
      </c>
    </row>
    <row r="752" spans="1:7" x14ac:dyDescent="0.25">
      <c r="A752">
        <f>IF(AND(Sheet2!B752=Sheet1!B$19,Sheet2!C752=Sheet1!C$19,Sheet2!D752=Sheet1!D$19),1,0)</f>
        <v>0</v>
      </c>
      <c r="B752" s="10" t="s">
        <v>215</v>
      </c>
      <c r="C752" s="11">
        <v>0.75</v>
      </c>
      <c r="D752" s="22">
        <v>6</v>
      </c>
      <c r="E752" s="22">
        <v>11177</v>
      </c>
      <c r="F752" s="10" t="s">
        <v>74</v>
      </c>
      <c r="G752" s="10" t="str">
        <f t="shared" si="4"/>
        <v>11177A</v>
      </c>
    </row>
    <row r="753" spans="1:7" x14ac:dyDescent="0.25">
      <c r="A753">
        <f>IF(AND(Sheet2!B753=Sheet1!B$19,Sheet2!C753=Sheet1!C$19,Sheet2!D753=Sheet1!D$19),1,0)</f>
        <v>0</v>
      </c>
      <c r="B753" s="10" t="s">
        <v>215</v>
      </c>
      <c r="C753" s="11">
        <v>0.75</v>
      </c>
      <c r="D753" s="22">
        <v>7</v>
      </c>
      <c r="E753" s="22">
        <v>11178</v>
      </c>
      <c r="F753" s="10" t="s">
        <v>74</v>
      </c>
      <c r="G753" s="10" t="str">
        <f t="shared" si="4"/>
        <v>11178A</v>
      </c>
    </row>
    <row r="754" spans="1:7" x14ac:dyDescent="0.25">
      <c r="A754">
        <f>IF(AND(Sheet2!B754=Sheet1!B$19,Sheet2!C754=Sheet1!C$19,Sheet2!D754=Sheet1!D$19),1,0)</f>
        <v>0</v>
      </c>
      <c r="B754" s="10" t="s">
        <v>215</v>
      </c>
      <c r="C754" s="11">
        <v>0.75</v>
      </c>
      <c r="D754" s="22">
        <v>8</v>
      </c>
      <c r="E754" s="22">
        <v>11179</v>
      </c>
      <c r="F754" s="10" t="s">
        <v>74</v>
      </c>
      <c r="G754" s="10" t="str">
        <f t="shared" si="4"/>
        <v>11179A</v>
      </c>
    </row>
    <row r="755" spans="1:7" x14ac:dyDescent="0.25">
      <c r="A755">
        <f>IF(AND(Sheet2!B755=Sheet1!B$19,Sheet2!C755=Sheet1!C$19,Sheet2!D755=Sheet1!D$19),1,0)</f>
        <v>0</v>
      </c>
      <c r="B755" s="10" t="s">
        <v>215</v>
      </c>
      <c r="C755" s="11">
        <v>0.75</v>
      </c>
      <c r="D755" s="22">
        <v>9</v>
      </c>
      <c r="E755" s="22">
        <v>11180</v>
      </c>
      <c r="F755" s="10" t="s">
        <v>74</v>
      </c>
      <c r="G755" s="10" t="str">
        <f t="shared" si="4"/>
        <v>11180A</v>
      </c>
    </row>
    <row r="756" spans="1:7" x14ac:dyDescent="0.25">
      <c r="A756">
        <f>IF(AND(Sheet2!B756=Sheet1!B$19,Sheet2!C756=Sheet1!C$19,Sheet2!D756=Sheet1!D$19),1,0)</f>
        <v>0</v>
      </c>
      <c r="B756" s="10" t="s">
        <v>215</v>
      </c>
      <c r="C756" s="11">
        <v>0.75</v>
      </c>
      <c r="D756" s="22">
        <v>10</v>
      </c>
      <c r="E756" s="22">
        <v>11181</v>
      </c>
      <c r="F756" s="10" t="s">
        <v>74</v>
      </c>
      <c r="G756" s="10" t="str">
        <f t="shared" si="4"/>
        <v>11181A</v>
      </c>
    </row>
    <row r="757" spans="1:7" x14ac:dyDescent="0.25">
      <c r="A757">
        <f>IF(AND(Sheet2!B757=Sheet1!B$19,Sheet2!C757=Sheet1!C$19,Sheet2!D757=Sheet1!D$19),1,0)</f>
        <v>0</v>
      </c>
      <c r="B757" s="10" t="s">
        <v>215</v>
      </c>
      <c r="C757" s="11">
        <v>0.75</v>
      </c>
      <c r="D757" s="22">
        <v>11</v>
      </c>
      <c r="E757" s="22">
        <v>11182</v>
      </c>
      <c r="F757" s="10" t="s">
        <v>74</v>
      </c>
      <c r="G757" s="10" t="str">
        <f t="shared" si="4"/>
        <v>11182A</v>
      </c>
    </row>
    <row r="758" spans="1:7" x14ac:dyDescent="0.25">
      <c r="A758">
        <f>IF(AND(Sheet2!B758=Sheet1!B$19,Sheet2!C758=Sheet1!C$19,Sheet2!D758=Sheet1!D$19),1,0)</f>
        <v>0</v>
      </c>
      <c r="B758" s="10" t="s">
        <v>215</v>
      </c>
      <c r="C758" s="11">
        <v>0.75</v>
      </c>
      <c r="D758" s="22">
        <v>12</v>
      </c>
      <c r="E758" s="22">
        <v>11183</v>
      </c>
      <c r="F758" s="10" t="s">
        <v>74</v>
      </c>
      <c r="G758" s="10" t="str">
        <f t="shared" si="4"/>
        <v>11183A</v>
      </c>
    </row>
    <row r="759" spans="1:7" x14ac:dyDescent="0.25">
      <c r="A759">
        <f>IF(AND(Sheet2!B759=Sheet1!B$19,Sheet2!C759=Sheet1!C$19,Sheet2!D759=Sheet1!D$19),1,0)</f>
        <v>0</v>
      </c>
      <c r="B759" s="10" t="s">
        <v>215</v>
      </c>
      <c r="C759" s="11">
        <v>0.75</v>
      </c>
      <c r="D759" s="22">
        <v>13</v>
      </c>
      <c r="E759" s="22">
        <v>11184</v>
      </c>
      <c r="F759" s="10" t="s">
        <v>74</v>
      </c>
      <c r="G759" s="10" t="str">
        <f t="shared" si="4"/>
        <v>11184A</v>
      </c>
    </row>
    <row r="760" spans="1:7" x14ac:dyDescent="0.25">
      <c r="A760">
        <f>IF(AND(Sheet2!B760=Sheet1!B$19,Sheet2!C760=Sheet1!C$19,Sheet2!D760=Sheet1!D$19),1,0)</f>
        <v>0</v>
      </c>
      <c r="B760" s="10" t="s">
        <v>215</v>
      </c>
      <c r="C760" s="11">
        <v>0.75</v>
      </c>
      <c r="D760" s="22">
        <v>14</v>
      </c>
      <c r="E760" s="22">
        <v>11185</v>
      </c>
      <c r="F760" s="10" t="s">
        <v>74</v>
      </c>
      <c r="G760" s="10" t="str">
        <f t="shared" si="4"/>
        <v>11185A</v>
      </c>
    </row>
    <row r="761" spans="1:7" x14ac:dyDescent="0.25">
      <c r="A761">
        <f>IF(AND(Sheet2!B761=Sheet1!B$19,Sheet2!C761=Sheet1!C$19,Sheet2!D761=Sheet1!D$19),1,0)</f>
        <v>0</v>
      </c>
      <c r="B761" s="10" t="s">
        <v>215</v>
      </c>
      <c r="C761" s="11">
        <v>0.75</v>
      </c>
      <c r="D761" s="22">
        <v>15</v>
      </c>
      <c r="E761" s="22">
        <v>11186</v>
      </c>
      <c r="F761" s="10" t="s">
        <v>74</v>
      </c>
      <c r="G761" s="10" t="str">
        <f t="shared" si="4"/>
        <v>11186A</v>
      </c>
    </row>
    <row r="762" spans="1:7" x14ac:dyDescent="0.25">
      <c r="A762">
        <f>IF(AND(Sheet2!B762=Sheet1!B$19,Sheet2!C762=Sheet1!C$19,Sheet2!D762=Sheet1!D$19),1,0)</f>
        <v>0</v>
      </c>
      <c r="B762" s="10" t="s">
        <v>215</v>
      </c>
      <c r="C762" s="11">
        <v>0.75</v>
      </c>
      <c r="D762" s="22">
        <v>16</v>
      </c>
      <c r="E762" s="22">
        <v>11187</v>
      </c>
      <c r="F762" s="10" t="s">
        <v>74</v>
      </c>
      <c r="G762" s="10" t="str">
        <f t="shared" si="4"/>
        <v>11187A</v>
      </c>
    </row>
    <row r="763" spans="1:7" x14ac:dyDescent="0.25">
      <c r="A763">
        <f>IF(AND(Sheet2!B763=Sheet1!B$19,Sheet2!C763=Sheet1!C$19,Sheet2!D763=Sheet1!D$19),1,0)</f>
        <v>0</v>
      </c>
      <c r="B763" s="10" t="s">
        <v>215</v>
      </c>
      <c r="C763" s="11">
        <v>0.75</v>
      </c>
      <c r="D763" s="22">
        <v>17</v>
      </c>
      <c r="E763" s="22">
        <v>11188</v>
      </c>
      <c r="F763" s="10" t="s">
        <v>74</v>
      </c>
      <c r="G763" s="10" t="str">
        <f t="shared" si="4"/>
        <v>11188A</v>
      </c>
    </row>
    <row r="764" spans="1:7" x14ac:dyDescent="0.25">
      <c r="A764">
        <f>IF(AND(Sheet2!B764=Sheet1!B$19,Sheet2!C764=Sheet1!C$19,Sheet2!D764=Sheet1!D$19),1,0)</f>
        <v>0</v>
      </c>
      <c r="B764" s="10" t="s">
        <v>215</v>
      </c>
      <c r="C764" s="11">
        <v>0.75</v>
      </c>
      <c r="D764" s="22">
        <v>18</v>
      </c>
      <c r="E764" s="22">
        <v>11189</v>
      </c>
      <c r="F764" s="10" t="s">
        <v>74</v>
      </c>
      <c r="G764" s="10" t="str">
        <f t="shared" si="4"/>
        <v>11189A</v>
      </c>
    </row>
    <row r="765" spans="1:7" x14ac:dyDescent="0.25">
      <c r="A765">
        <f>IF(AND(Sheet2!B765=Sheet1!B$19,Sheet2!C765=Sheet1!C$19,Sheet2!D765=Sheet1!D$19),1,0)</f>
        <v>0</v>
      </c>
      <c r="B765" s="10" t="s">
        <v>215</v>
      </c>
      <c r="C765" s="11">
        <v>0.75</v>
      </c>
      <c r="D765" s="22">
        <v>19</v>
      </c>
      <c r="E765" s="22">
        <v>11190</v>
      </c>
      <c r="F765" s="10" t="s">
        <v>74</v>
      </c>
      <c r="G765" s="10" t="str">
        <f t="shared" si="4"/>
        <v>11190A</v>
      </c>
    </row>
    <row r="766" spans="1:7" x14ac:dyDescent="0.25">
      <c r="A766">
        <f>IF(AND(Sheet2!B766=Sheet1!B$19,Sheet2!C766=Sheet1!C$19,Sheet2!D766=Sheet1!D$19),1,0)</f>
        <v>0</v>
      </c>
      <c r="B766" s="10" t="s">
        <v>215</v>
      </c>
      <c r="C766" s="11">
        <v>0.75</v>
      </c>
      <c r="D766" s="22">
        <v>20</v>
      </c>
      <c r="E766" s="22">
        <v>11191</v>
      </c>
      <c r="F766" s="10" t="s">
        <v>74</v>
      </c>
      <c r="G766" s="10" t="str">
        <f t="shared" si="4"/>
        <v>11191A</v>
      </c>
    </row>
    <row r="767" spans="1:7" x14ac:dyDescent="0.25">
      <c r="A767">
        <f>IF(AND(Sheet2!B767=Sheet1!B$19,Sheet2!C767=Sheet1!C$19,Sheet2!D767=Sheet1!D$19),1,0)</f>
        <v>0</v>
      </c>
      <c r="B767" s="10" t="s">
        <v>215</v>
      </c>
      <c r="C767" s="11">
        <v>0.75</v>
      </c>
      <c r="D767" s="22">
        <v>21</v>
      </c>
      <c r="E767" s="22">
        <v>11546</v>
      </c>
      <c r="F767" s="10" t="s">
        <v>74</v>
      </c>
      <c r="G767" s="10" t="str">
        <f t="shared" si="4"/>
        <v>11546A</v>
      </c>
    </row>
    <row r="768" spans="1:7" x14ac:dyDescent="0.25">
      <c r="A768">
        <f>IF(AND(Sheet2!B768=Sheet1!B$19,Sheet2!C768=Sheet1!C$19,Sheet2!D768=Sheet1!D$19),1,0)</f>
        <v>0</v>
      </c>
      <c r="B768" s="10" t="s">
        <v>215</v>
      </c>
      <c r="C768" s="11">
        <v>0.75</v>
      </c>
      <c r="D768" s="22">
        <v>22</v>
      </c>
      <c r="E768" s="22">
        <v>11547</v>
      </c>
      <c r="F768" s="10" t="s">
        <v>74</v>
      </c>
      <c r="G768" s="10" t="str">
        <f t="shared" si="4"/>
        <v>11547A</v>
      </c>
    </row>
    <row r="769" spans="1:7" x14ac:dyDescent="0.25">
      <c r="A769">
        <f>IF(AND(Sheet2!B769=Sheet1!B$19,Sheet2!C769=Sheet1!C$19,Sheet2!D769=Sheet1!D$19),1,0)</f>
        <v>0</v>
      </c>
      <c r="B769" s="10" t="s">
        <v>215</v>
      </c>
      <c r="C769" s="11">
        <v>0.75</v>
      </c>
      <c r="D769" s="22">
        <v>23</v>
      </c>
      <c r="E769" s="22">
        <v>11548</v>
      </c>
      <c r="F769" s="10" t="s">
        <v>74</v>
      </c>
      <c r="G769" s="10" t="str">
        <f t="shared" si="4"/>
        <v>11548A</v>
      </c>
    </row>
    <row r="770" spans="1:7" x14ac:dyDescent="0.25">
      <c r="A770">
        <f>IF(AND(Sheet2!B770=Sheet1!B$19,Sheet2!C770=Sheet1!C$19,Sheet2!D770=Sheet1!D$19),1,0)</f>
        <v>0</v>
      </c>
      <c r="B770" s="10" t="s">
        <v>215</v>
      </c>
      <c r="C770" s="11">
        <v>0.75</v>
      </c>
      <c r="D770" s="22">
        <v>24</v>
      </c>
      <c r="E770" s="22">
        <v>11549</v>
      </c>
      <c r="F770" s="10" t="s">
        <v>74</v>
      </c>
      <c r="G770" s="10" t="str">
        <f t="shared" si="4"/>
        <v>11549A</v>
      </c>
    </row>
    <row r="771" spans="1:7" x14ac:dyDescent="0.25">
      <c r="A771">
        <f>IF(AND(Sheet2!B771=Sheet1!B$19,Sheet2!C771=Sheet1!C$19,Sheet2!D771=Sheet1!D$19),1,0)</f>
        <v>0</v>
      </c>
      <c r="B771" s="10" t="s">
        <v>215</v>
      </c>
      <c r="C771" s="11">
        <v>0.75</v>
      </c>
      <c r="D771" s="22">
        <v>25</v>
      </c>
      <c r="E771" s="22">
        <v>11550</v>
      </c>
      <c r="F771" s="10" t="s">
        <v>74</v>
      </c>
      <c r="G771" s="10" t="str">
        <f t="shared" si="4"/>
        <v>11550A</v>
      </c>
    </row>
    <row r="772" spans="1:7" x14ac:dyDescent="0.25">
      <c r="A772">
        <f>IF(AND(Sheet2!B772=Sheet1!B$19,Sheet2!C772=Sheet1!C$19,Sheet2!D772=Sheet1!D$19),1,0)</f>
        <v>0</v>
      </c>
      <c r="B772" s="10" t="s">
        <v>215</v>
      </c>
      <c r="C772" s="11">
        <v>0.75</v>
      </c>
      <c r="D772" s="22">
        <v>26</v>
      </c>
      <c r="E772" s="22">
        <v>11551</v>
      </c>
      <c r="F772" s="10" t="s">
        <v>74</v>
      </c>
      <c r="G772" s="10" t="str">
        <f t="shared" si="4"/>
        <v>11551A</v>
      </c>
    </row>
    <row r="773" spans="1:7" x14ac:dyDescent="0.25">
      <c r="A773">
        <f>IF(AND(Sheet2!B773=Sheet1!B$19,Sheet2!C773=Sheet1!C$19,Sheet2!D773=Sheet1!D$19),1,0)</f>
        <v>0</v>
      </c>
      <c r="B773" s="10" t="s">
        <v>215</v>
      </c>
      <c r="C773" s="11">
        <v>0.75</v>
      </c>
      <c r="D773" s="22">
        <v>27</v>
      </c>
      <c r="E773" s="22">
        <v>11552</v>
      </c>
      <c r="F773" s="10" t="s">
        <v>74</v>
      </c>
      <c r="G773" s="10" t="str">
        <f t="shared" si="4"/>
        <v>11552A</v>
      </c>
    </row>
    <row r="774" spans="1:7" x14ac:dyDescent="0.25">
      <c r="A774">
        <f>IF(AND(Sheet2!B774=Sheet1!B$19,Sheet2!C774=Sheet1!C$19,Sheet2!D774=Sheet1!D$19),1,0)</f>
        <v>0</v>
      </c>
      <c r="B774" s="10" t="s">
        <v>215</v>
      </c>
      <c r="C774" s="11">
        <v>0.75</v>
      </c>
      <c r="D774" s="22">
        <v>28</v>
      </c>
      <c r="E774" s="22">
        <v>11553</v>
      </c>
      <c r="F774" s="10" t="s">
        <v>74</v>
      </c>
      <c r="G774" s="10" t="str">
        <f t="shared" si="4"/>
        <v>11553A</v>
      </c>
    </row>
    <row r="775" spans="1:7" x14ac:dyDescent="0.25">
      <c r="A775">
        <f>IF(AND(Sheet2!B775=Sheet1!B$19,Sheet2!C775=Sheet1!C$19,Sheet2!D775=Sheet1!D$19),1,0)</f>
        <v>0</v>
      </c>
      <c r="B775" s="10" t="s">
        <v>215</v>
      </c>
      <c r="C775" s="11">
        <v>0.75</v>
      </c>
      <c r="D775" s="22">
        <v>29</v>
      </c>
      <c r="E775" s="22">
        <v>11554</v>
      </c>
      <c r="F775" s="10" t="s">
        <v>74</v>
      </c>
      <c r="G775" s="10" t="str">
        <f t="shared" si="4"/>
        <v>11554A</v>
      </c>
    </row>
    <row r="776" spans="1:7" x14ac:dyDescent="0.25">
      <c r="A776">
        <f>IF(AND(Sheet2!B776=Sheet1!B$19,Sheet2!C776=Sheet1!C$19,Sheet2!D776=Sheet1!D$19),1,0)</f>
        <v>0</v>
      </c>
      <c r="B776" s="10" t="s">
        <v>215</v>
      </c>
      <c r="C776" s="11">
        <v>0.75</v>
      </c>
      <c r="D776" s="22">
        <v>30</v>
      </c>
      <c r="E776" s="22">
        <v>11555</v>
      </c>
      <c r="F776" s="10" t="s">
        <v>74</v>
      </c>
      <c r="G776" s="10" t="str">
        <f t="shared" si="4"/>
        <v>11555A</v>
      </c>
    </row>
    <row r="777" spans="1:7" x14ac:dyDescent="0.25">
      <c r="A777">
        <f>IF(AND(Sheet2!B777=Sheet1!B$19,Sheet2!C777=Sheet1!C$19,Sheet2!D777=Sheet1!D$19),1,0)</f>
        <v>0</v>
      </c>
      <c r="B777" s="10" t="s">
        <v>215</v>
      </c>
      <c r="C777" s="11">
        <v>0.75</v>
      </c>
      <c r="D777" s="22">
        <v>31</v>
      </c>
      <c r="E777" s="22">
        <v>11556</v>
      </c>
      <c r="F777" s="10" t="s">
        <v>74</v>
      </c>
      <c r="G777" s="10" t="str">
        <f t="shared" si="4"/>
        <v>11556A</v>
      </c>
    </row>
    <row r="778" spans="1:7" x14ac:dyDescent="0.25">
      <c r="A778">
        <f>IF(AND(Sheet2!B778=Sheet1!B$19,Sheet2!C778=Sheet1!C$19,Sheet2!D778=Sheet1!D$19),1,0)</f>
        <v>0</v>
      </c>
      <c r="B778" s="10" t="s">
        <v>215</v>
      </c>
      <c r="C778" s="11">
        <v>0.75</v>
      </c>
      <c r="D778" s="22">
        <v>32</v>
      </c>
      <c r="E778" s="22">
        <v>11557</v>
      </c>
      <c r="F778" s="10" t="s">
        <v>74</v>
      </c>
      <c r="G778" s="10" t="str">
        <f t="shared" si="4"/>
        <v>11557A</v>
      </c>
    </row>
    <row r="779" spans="1:7" x14ac:dyDescent="0.25">
      <c r="A779">
        <f>IF(AND(Sheet2!B779=Sheet1!B$19,Sheet2!C779=Sheet1!C$19,Sheet2!D779=Sheet1!D$19),1,0)</f>
        <v>0</v>
      </c>
      <c r="B779" s="10" t="s">
        <v>215</v>
      </c>
      <c r="C779" s="11">
        <v>0.75</v>
      </c>
      <c r="D779" s="22">
        <v>33</v>
      </c>
      <c r="E779" s="22">
        <v>11558</v>
      </c>
      <c r="F779" s="10" t="s">
        <v>74</v>
      </c>
      <c r="G779" s="10" t="str">
        <f t="shared" si="4"/>
        <v>11558A</v>
      </c>
    </row>
    <row r="780" spans="1:7" x14ac:dyDescent="0.25">
      <c r="A780">
        <f>IF(AND(Sheet2!B780=Sheet1!B$19,Sheet2!C780=Sheet1!C$19,Sheet2!D780=Sheet1!D$19),1,0)</f>
        <v>0</v>
      </c>
      <c r="B780" s="10" t="s">
        <v>215</v>
      </c>
      <c r="C780" s="11">
        <v>0.75</v>
      </c>
      <c r="D780" s="22">
        <v>34</v>
      </c>
      <c r="E780" s="22">
        <v>11559</v>
      </c>
      <c r="F780" s="10" t="s">
        <v>74</v>
      </c>
      <c r="G780" s="10" t="str">
        <f t="shared" si="4"/>
        <v>11559A</v>
      </c>
    </row>
    <row r="781" spans="1:7" x14ac:dyDescent="0.25">
      <c r="A781">
        <f>IF(AND(Sheet2!B781=Sheet1!B$19,Sheet2!C781=Sheet1!C$19,Sheet2!D781=Sheet1!D$19),1,0)</f>
        <v>0</v>
      </c>
      <c r="B781" s="10" t="s">
        <v>215</v>
      </c>
      <c r="C781" s="11">
        <v>0.75</v>
      </c>
      <c r="D781" s="22">
        <v>35</v>
      </c>
      <c r="E781" s="22">
        <v>11560</v>
      </c>
      <c r="F781" s="10" t="s">
        <v>74</v>
      </c>
      <c r="G781" s="10" t="str">
        <f t="shared" si="4"/>
        <v>11560A</v>
      </c>
    </row>
    <row r="782" spans="1:7" x14ac:dyDescent="0.25">
      <c r="A782">
        <f>IF(AND(Sheet2!B782=Sheet1!B$19,Sheet2!C782=Sheet1!C$19,Sheet2!D782=Sheet1!D$19),1,0)</f>
        <v>0</v>
      </c>
      <c r="B782" s="10" t="s">
        <v>215</v>
      </c>
      <c r="C782" s="11">
        <v>0.75</v>
      </c>
      <c r="D782" s="22">
        <v>36</v>
      </c>
      <c r="E782" s="22">
        <v>11561</v>
      </c>
      <c r="F782" s="10" t="s">
        <v>74</v>
      </c>
      <c r="G782" s="10" t="str">
        <f t="shared" si="4"/>
        <v>11561A</v>
      </c>
    </row>
    <row r="783" spans="1:7" x14ac:dyDescent="0.25">
      <c r="A783">
        <f>IF(AND(Sheet2!B783=Sheet1!B$19,Sheet2!C783=Sheet1!C$19,Sheet2!D783=Sheet1!D$19),1,0)</f>
        <v>0</v>
      </c>
      <c r="B783" s="10" t="s">
        <v>215</v>
      </c>
      <c r="C783" s="11">
        <v>0.75</v>
      </c>
      <c r="D783" s="22">
        <v>37</v>
      </c>
      <c r="E783" s="22">
        <v>11562</v>
      </c>
      <c r="F783" s="10" t="s">
        <v>74</v>
      </c>
      <c r="G783" s="10" t="str">
        <f t="shared" si="4"/>
        <v>11562A</v>
      </c>
    </row>
    <row r="784" spans="1:7" x14ac:dyDescent="0.25">
      <c r="A784">
        <f>IF(AND(Sheet2!B784=Sheet1!B$19,Sheet2!C784=Sheet1!C$19,Sheet2!D784=Sheet1!D$19),1,0)</f>
        <v>0</v>
      </c>
      <c r="B784" s="10" t="s">
        <v>215</v>
      </c>
      <c r="C784" s="11">
        <v>0.75</v>
      </c>
      <c r="D784" s="22">
        <v>38</v>
      </c>
      <c r="E784" s="22">
        <v>11563</v>
      </c>
      <c r="F784" s="10" t="s">
        <v>74</v>
      </c>
      <c r="G784" s="10" t="str">
        <f t="shared" si="4"/>
        <v>11563A</v>
      </c>
    </row>
    <row r="785" spans="1:7" x14ac:dyDescent="0.25">
      <c r="A785">
        <f>IF(AND(Sheet2!B785=Sheet1!B$19,Sheet2!C785=Sheet1!C$19,Sheet2!D785=Sheet1!D$19),1,0)</f>
        <v>0</v>
      </c>
      <c r="B785" s="10" t="s">
        <v>215</v>
      </c>
      <c r="C785" s="11">
        <v>0.75</v>
      </c>
      <c r="D785" s="22">
        <v>39</v>
      </c>
      <c r="E785" s="22">
        <v>11564</v>
      </c>
      <c r="F785" s="10" t="s">
        <v>74</v>
      </c>
      <c r="G785" s="10" t="str">
        <f t="shared" si="4"/>
        <v>11564A</v>
      </c>
    </row>
    <row r="786" spans="1:7" x14ac:dyDescent="0.25">
      <c r="A786">
        <f>IF(AND(Sheet2!B786=Sheet1!B$19,Sheet2!C786=Sheet1!C$19,Sheet2!D786=Sheet1!D$19),1,0)</f>
        <v>0</v>
      </c>
      <c r="B786" s="10" t="s">
        <v>215</v>
      </c>
      <c r="C786" s="11">
        <v>0.75</v>
      </c>
      <c r="D786" s="22">
        <v>40</v>
      </c>
      <c r="E786" s="22">
        <v>11565</v>
      </c>
      <c r="F786" s="10" t="s">
        <v>74</v>
      </c>
      <c r="G786" s="10" t="str">
        <f t="shared" si="4"/>
        <v>11565A</v>
      </c>
    </row>
    <row r="787" spans="1:7" x14ac:dyDescent="0.25">
      <c r="A787">
        <f>IF(AND(Sheet2!B787=Sheet1!B$19,Sheet2!C787=Sheet1!C$19,Sheet2!D787=Sheet1!D$19),1,0)</f>
        <v>0</v>
      </c>
      <c r="B787" s="10" t="s">
        <v>215</v>
      </c>
      <c r="C787" s="11">
        <v>0.75</v>
      </c>
      <c r="D787" s="22">
        <v>41</v>
      </c>
      <c r="E787" s="22">
        <v>11566</v>
      </c>
      <c r="F787" s="10" t="s">
        <v>74</v>
      </c>
      <c r="G787" s="10" t="str">
        <f t="shared" si="4"/>
        <v>11566A</v>
      </c>
    </row>
    <row r="788" spans="1:7" x14ac:dyDescent="0.25">
      <c r="A788">
        <f>IF(AND(Sheet2!B788=Sheet1!B$19,Sheet2!C788=Sheet1!C$19,Sheet2!D788=Sheet1!D$19),1,0)</f>
        <v>0</v>
      </c>
      <c r="B788" s="10" t="s">
        <v>215</v>
      </c>
      <c r="C788" s="11">
        <v>0.75</v>
      </c>
      <c r="D788" s="22">
        <v>42</v>
      </c>
      <c r="E788" s="22">
        <v>11567</v>
      </c>
      <c r="F788" s="10" t="s">
        <v>74</v>
      </c>
      <c r="G788" s="10" t="str">
        <f t="shared" si="4"/>
        <v>11567A</v>
      </c>
    </row>
    <row r="789" spans="1:7" x14ac:dyDescent="0.25">
      <c r="A789">
        <f>IF(AND(Sheet2!B789=Sheet1!B$19,Sheet2!C789=Sheet1!C$19,Sheet2!D789=Sheet1!D$19),1,0)</f>
        <v>0</v>
      </c>
      <c r="B789" s="10" t="s">
        <v>215</v>
      </c>
      <c r="C789" s="11">
        <v>0.75</v>
      </c>
      <c r="D789" s="22">
        <v>43</v>
      </c>
      <c r="E789" s="22">
        <v>11568</v>
      </c>
      <c r="F789" s="10" t="s">
        <v>74</v>
      </c>
      <c r="G789" s="10" t="str">
        <f t="shared" si="4"/>
        <v>11568A</v>
      </c>
    </row>
    <row r="790" spans="1:7" x14ac:dyDescent="0.25">
      <c r="A790">
        <f>IF(AND(Sheet2!B790=Sheet1!B$19,Sheet2!C790=Sheet1!C$19,Sheet2!D790=Sheet1!D$19),1,0)</f>
        <v>0</v>
      </c>
      <c r="B790" s="10" t="s">
        <v>215</v>
      </c>
      <c r="C790" s="11">
        <v>0.75</v>
      </c>
      <c r="D790" s="22">
        <v>44</v>
      </c>
      <c r="E790" s="22">
        <v>11569</v>
      </c>
      <c r="F790" s="10" t="s">
        <v>74</v>
      </c>
      <c r="G790" s="10" t="str">
        <f t="shared" si="4"/>
        <v>11569A</v>
      </c>
    </row>
    <row r="791" spans="1:7" x14ac:dyDescent="0.25">
      <c r="A791">
        <f>IF(AND(Sheet2!B791=Sheet1!B$19,Sheet2!C791=Sheet1!C$19,Sheet2!D791=Sheet1!D$19),1,0)</f>
        <v>0</v>
      </c>
      <c r="B791" s="10" t="s">
        <v>215</v>
      </c>
      <c r="C791" s="11">
        <v>0.75</v>
      </c>
      <c r="D791" s="22">
        <v>45</v>
      </c>
      <c r="E791" s="22">
        <v>11570</v>
      </c>
      <c r="F791" s="10" t="s">
        <v>74</v>
      </c>
      <c r="G791" s="10" t="str">
        <f t="shared" si="4"/>
        <v>11570A</v>
      </c>
    </row>
    <row r="792" spans="1:7" x14ac:dyDescent="0.25">
      <c r="A792">
        <f>IF(AND(Sheet2!B792=Sheet1!B$19,Sheet2!C792=Sheet1!C$19,Sheet2!D792=Sheet1!D$19),1,0)</f>
        <v>0</v>
      </c>
      <c r="B792" s="10" t="s">
        <v>215</v>
      </c>
      <c r="C792" s="11">
        <v>0.75</v>
      </c>
      <c r="D792" s="22">
        <v>46</v>
      </c>
      <c r="E792" s="22">
        <v>11571</v>
      </c>
      <c r="F792" s="10" t="s">
        <v>74</v>
      </c>
      <c r="G792" s="10" t="str">
        <f t="shared" si="4"/>
        <v>11571A</v>
      </c>
    </row>
    <row r="793" spans="1:7" x14ac:dyDescent="0.25">
      <c r="A793">
        <f>IF(AND(Sheet2!B793=Sheet1!B$19,Sheet2!C793=Sheet1!C$19,Sheet2!D793=Sheet1!D$19),1,0)</f>
        <v>0</v>
      </c>
      <c r="B793" s="10" t="s">
        <v>215</v>
      </c>
      <c r="C793" s="11">
        <v>0.75</v>
      </c>
      <c r="D793" s="22">
        <v>47</v>
      </c>
      <c r="E793" s="22">
        <v>11572</v>
      </c>
      <c r="F793" s="10" t="s">
        <v>74</v>
      </c>
      <c r="G793" s="10" t="str">
        <f t="shared" si="4"/>
        <v>11572A</v>
      </c>
    </row>
    <row r="794" spans="1:7" x14ac:dyDescent="0.25">
      <c r="A794">
        <f>IF(AND(Sheet2!B794=Sheet1!B$19,Sheet2!C794=Sheet1!C$19,Sheet2!D794=Sheet1!D$19),1,0)</f>
        <v>0</v>
      </c>
      <c r="B794" s="10" t="s">
        <v>215</v>
      </c>
      <c r="C794" s="11">
        <v>0.75</v>
      </c>
      <c r="D794" s="22">
        <v>48</v>
      </c>
      <c r="E794" s="22">
        <v>11573</v>
      </c>
      <c r="F794" s="10" t="s">
        <v>74</v>
      </c>
      <c r="G794" s="10" t="str">
        <f t="shared" si="4"/>
        <v>11573A</v>
      </c>
    </row>
    <row r="795" spans="1:7" x14ac:dyDescent="0.25">
      <c r="A795">
        <f>IF(AND(Sheet2!B795=Sheet1!B$19,Sheet2!C795=Sheet1!C$19,Sheet2!D795=Sheet1!D$19),1,0)</f>
        <v>0</v>
      </c>
      <c r="B795" s="10" t="s">
        <v>215</v>
      </c>
      <c r="C795" s="11">
        <v>0.75</v>
      </c>
      <c r="D795" s="22">
        <v>49</v>
      </c>
      <c r="E795" s="22">
        <v>11574</v>
      </c>
      <c r="F795" s="10" t="s">
        <v>74</v>
      </c>
      <c r="G795" s="10" t="str">
        <f t="shared" si="4"/>
        <v>11574A</v>
      </c>
    </row>
    <row r="796" spans="1:7" x14ac:dyDescent="0.25">
      <c r="A796">
        <f>IF(AND(Sheet2!B796=Sheet1!B$19,Sheet2!C796=Sheet1!C$19,Sheet2!D796=Sheet1!D$19),1,0)</f>
        <v>0</v>
      </c>
      <c r="B796" s="10" t="s">
        <v>215</v>
      </c>
      <c r="C796" s="11">
        <v>0.75</v>
      </c>
      <c r="D796" s="22">
        <v>50</v>
      </c>
      <c r="E796" s="22">
        <v>11575</v>
      </c>
      <c r="F796" s="10" t="s">
        <v>74</v>
      </c>
      <c r="G796" s="10" t="str">
        <f t="shared" si="4"/>
        <v>11575A</v>
      </c>
    </row>
    <row r="797" spans="1:7" x14ac:dyDescent="0.25">
      <c r="A797">
        <f>IF(AND(Sheet2!B797=Sheet1!B$19,Sheet2!C797=Sheet1!C$19,Sheet2!D797=Sheet1!D$19),1,0)</f>
        <v>0</v>
      </c>
      <c r="B797" s="10" t="s">
        <v>215</v>
      </c>
      <c r="C797" s="11">
        <v>0.75</v>
      </c>
      <c r="D797" s="22">
        <v>51</v>
      </c>
      <c r="E797" s="22">
        <v>11576</v>
      </c>
      <c r="F797" s="10" t="s">
        <v>74</v>
      </c>
      <c r="G797" s="10" t="str">
        <f t="shared" si="4"/>
        <v>11576A</v>
      </c>
    </row>
    <row r="798" spans="1:7" x14ac:dyDescent="0.25">
      <c r="A798">
        <f>IF(AND(Sheet2!B798=Sheet1!B$19,Sheet2!C798=Sheet1!C$19,Sheet2!D798=Sheet1!D$19),1,0)</f>
        <v>0</v>
      </c>
      <c r="B798" s="10" t="s">
        <v>215</v>
      </c>
      <c r="C798" s="11">
        <v>0.75</v>
      </c>
      <c r="D798" s="22">
        <v>52</v>
      </c>
      <c r="E798" s="22">
        <v>11577</v>
      </c>
      <c r="F798" s="10" t="s">
        <v>74</v>
      </c>
      <c r="G798" s="10" t="str">
        <f t="shared" si="4"/>
        <v>11577A</v>
      </c>
    </row>
    <row r="799" spans="1:7" x14ac:dyDescent="0.25">
      <c r="A799">
        <f>IF(AND(Sheet2!B799=Sheet1!B$19,Sheet2!C799=Sheet1!C$19,Sheet2!D799=Sheet1!D$19),1,0)</f>
        <v>0</v>
      </c>
      <c r="B799" s="10" t="s">
        <v>215</v>
      </c>
      <c r="C799" s="11">
        <v>0.75</v>
      </c>
      <c r="D799" s="22">
        <v>53</v>
      </c>
      <c r="E799" s="22">
        <v>11578</v>
      </c>
      <c r="F799" s="10" t="s">
        <v>74</v>
      </c>
      <c r="G799" s="10" t="str">
        <f t="shared" si="4"/>
        <v>11578A</v>
      </c>
    </row>
    <row r="800" spans="1:7" x14ac:dyDescent="0.25">
      <c r="A800">
        <f>IF(AND(Sheet2!B800=Sheet1!B$19,Sheet2!C800=Sheet1!C$19,Sheet2!D800=Sheet1!D$19),1,0)</f>
        <v>0</v>
      </c>
      <c r="B800" s="10" t="s">
        <v>215</v>
      </c>
      <c r="C800" s="11">
        <v>0.75</v>
      </c>
      <c r="D800" s="22">
        <v>54</v>
      </c>
      <c r="E800" s="22">
        <v>11579</v>
      </c>
      <c r="F800" s="10" t="s">
        <v>74</v>
      </c>
      <c r="G800" s="10" t="str">
        <f t="shared" si="4"/>
        <v>11579A</v>
      </c>
    </row>
    <row r="801" spans="1:7" x14ac:dyDescent="0.25">
      <c r="A801">
        <f>IF(AND(Sheet2!B801=Sheet1!B$19,Sheet2!C801=Sheet1!C$19,Sheet2!D801=Sheet1!D$19),1,0)</f>
        <v>0</v>
      </c>
      <c r="B801" s="10" t="s">
        <v>215</v>
      </c>
      <c r="C801" s="11">
        <v>0.75</v>
      </c>
      <c r="D801" s="22">
        <v>55</v>
      </c>
      <c r="E801" s="22">
        <v>11580</v>
      </c>
      <c r="F801" s="10" t="s">
        <v>74</v>
      </c>
      <c r="G801" s="10" t="str">
        <f t="shared" si="4"/>
        <v>11580A</v>
      </c>
    </row>
    <row r="802" spans="1:7" x14ac:dyDescent="0.25">
      <c r="A802">
        <f>IF(AND(Sheet2!B802=Sheet1!B$19,Sheet2!C802=Sheet1!C$19,Sheet2!D802=Sheet1!D$19),1,0)</f>
        <v>0</v>
      </c>
      <c r="B802" s="10" t="s">
        <v>215</v>
      </c>
      <c r="C802" s="11">
        <v>0.75</v>
      </c>
      <c r="D802" s="22">
        <v>56</v>
      </c>
      <c r="E802" s="22">
        <v>11581</v>
      </c>
      <c r="F802" s="10" t="s">
        <v>74</v>
      </c>
      <c r="G802" s="10" t="str">
        <f t="shared" si="4"/>
        <v>11581A</v>
      </c>
    </row>
    <row r="803" spans="1:7" x14ac:dyDescent="0.25">
      <c r="A803">
        <f>IF(AND(Sheet2!B803=Sheet1!B$19,Sheet2!C803=Sheet1!C$19,Sheet2!D803=Sheet1!D$19),1,0)</f>
        <v>0</v>
      </c>
      <c r="B803" s="10" t="s">
        <v>215</v>
      </c>
      <c r="C803" s="11">
        <v>0.75</v>
      </c>
      <c r="D803" s="22">
        <v>57</v>
      </c>
      <c r="E803" s="22">
        <v>11582</v>
      </c>
      <c r="F803" s="10" t="s">
        <v>74</v>
      </c>
      <c r="G803" s="10" t="str">
        <f t="shared" si="4"/>
        <v>11582A</v>
      </c>
    </row>
    <row r="804" spans="1:7" x14ac:dyDescent="0.25">
      <c r="A804">
        <f>IF(AND(Sheet2!B804=Sheet1!B$19,Sheet2!C804=Sheet1!C$19,Sheet2!D804=Sheet1!D$19),1,0)</f>
        <v>0</v>
      </c>
      <c r="B804" s="10" t="s">
        <v>215</v>
      </c>
      <c r="C804" s="11">
        <v>0.75</v>
      </c>
      <c r="D804" s="22">
        <v>58</v>
      </c>
      <c r="E804" s="22">
        <v>11583</v>
      </c>
      <c r="F804" s="10" t="s">
        <v>74</v>
      </c>
      <c r="G804" s="10" t="str">
        <f t="shared" si="4"/>
        <v>11583A</v>
      </c>
    </row>
    <row r="805" spans="1:7" x14ac:dyDescent="0.25">
      <c r="A805">
        <f>IF(AND(Sheet2!B805=Sheet1!B$19,Sheet2!C805=Sheet1!C$19,Sheet2!D805=Sheet1!D$19),1,0)</f>
        <v>0</v>
      </c>
      <c r="B805" s="10" t="s">
        <v>215</v>
      </c>
      <c r="C805" s="11">
        <v>0.75</v>
      </c>
      <c r="D805" s="22">
        <v>59</v>
      </c>
      <c r="E805" s="22">
        <v>11584</v>
      </c>
      <c r="F805" s="10" t="s">
        <v>74</v>
      </c>
      <c r="G805" s="10" t="str">
        <f t="shared" si="4"/>
        <v>11584A</v>
      </c>
    </row>
    <row r="806" spans="1:7" x14ac:dyDescent="0.25">
      <c r="A806">
        <f>IF(AND(Sheet2!B806=Sheet1!B$19,Sheet2!C806=Sheet1!C$19,Sheet2!D806=Sheet1!D$19),1,0)</f>
        <v>0</v>
      </c>
      <c r="B806" s="10" t="s">
        <v>215</v>
      </c>
      <c r="C806" s="11">
        <v>0.75</v>
      </c>
      <c r="D806" s="22">
        <v>60</v>
      </c>
      <c r="E806" s="22">
        <v>11585</v>
      </c>
      <c r="F806" s="10" t="s">
        <v>74</v>
      </c>
      <c r="G806" s="10" t="str">
        <f t="shared" si="4"/>
        <v>11585A</v>
      </c>
    </row>
    <row r="807" spans="1:7" x14ac:dyDescent="0.25">
      <c r="A807">
        <f>IF(AND(Sheet2!B807=Sheet1!B$19,Sheet2!C807=Sheet1!C$19,Sheet2!D807=Sheet1!D$19),1,0)</f>
        <v>0</v>
      </c>
      <c r="B807" s="10" t="s">
        <v>215</v>
      </c>
      <c r="C807" s="11">
        <v>1</v>
      </c>
      <c r="D807" s="22">
        <v>2</v>
      </c>
      <c r="E807" s="22">
        <v>11192</v>
      </c>
      <c r="F807" s="10" t="s">
        <v>74</v>
      </c>
      <c r="G807" s="10" t="str">
        <f t="shared" si="4"/>
        <v>11192A</v>
      </c>
    </row>
    <row r="808" spans="1:7" x14ac:dyDescent="0.25">
      <c r="A808">
        <f>IF(AND(Sheet2!B808=Sheet1!B$19,Sheet2!C808=Sheet1!C$19,Sheet2!D808=Sheet1!D$19),1,0)</f>
        <v>0</v>
      </c>
      <c r="B808" s="10" t="s">
        <v>215</v>
      </c>
      <c r="C808" s="11">
        <v>1</v>
      </c>
      <c r="D808" s="22">
        <v>3</v>
      </c>
      <c r="E808" s="22">
        <v>11193</v>
      </c>
      <c r="F808" s="10" t="s">
        <v>74</v>
      </c>
      <c r="G808" s="10" t="str">
        <f t="shared" si="4"/>
        <v>11193A</v>
      </c>
    </row>
    <row r="809" spans="1:7" x14ac:dyDescent="0.25">
      <c r="A809">
        <f>IF(AND(Sheet2!B809=Sheet1!B$19,Sheet2!C809=Sheet1!C$19,Sheet2!D809=Sheet1!D$19),1,0)</f>
        <v>0</v>
      </c>
      <c r="B809" s="10" t="s">
        <v>215</v>
      </c>
      <c r="C809" s="11">
        <v>1</v>
      </c>
      <c r="D809" s="22">
        <v>4</v>
      </c>
      <c r="E809" s="22">
        <v>11194</v>
      </c>
      <c r="F809" s="10" t="s">
        <v>74</v>
      </c>
      <c r="G809" s="10" t="str">
        <f t="shared" si="4"/>
        <v>11194A</v>
      </c>
    </row>
    <row r="810" spans="1:7" x14ac:dyDescent="0.25">
      <c r="A810">
        <f>IF(AND(Sheet2!B810=Sheet1!B$19,Sheet2!C810=Sheet1!C$19,Sheet2!D810=Sheet1!D$19),1,0)</f>
        <v>0</v>
      </c>
      <c r="B810" s="10" t="s">
        <v>215</v>
      </c>
      <c r="C810" s="11">
        <v>1</v>
      </c>
      <c r="D810" s="22">
        <v>5</v>
      </c>
      <c r="E810" s="22">
        <v>11195</v>
      </c>
      <c r="F810" s="10" t="s">
        <v>74</v>
      </c>
      <c r="G810" s="10" t="str">
        <f t="shared" si="4"/>
        <v>11195A</v>
      </c>
    </row>
    <row r="811" spans="1:7" x14ac:dyDescent="0.25">
      <c r="A811">
        <f>IF(AND(Sheet2!B811=Sheet1!B$19,Sheet2!C811=Sheet1!C$19,Sheet2!D811=Sheet1!D$19),1,0)</f>
        <v>0</v>
      </c>
      <c r="B811" s="10" t="s">
        <v>215</v>
      </c>
      <c r="C811" s="11">
        <v>1</v>
      </c>
      <c r="D811" s="22">
        <v>6</v>
      </c>
      <c r="E811" s="22">
        <v>11196</v>
      </c>
      <c r="F811" s="10" t="s">
        <v>74</v>
      </c>
      <c r="G811" s="10" t="str">
        <f t="shared" si="4"/>
        <v>11196A</v>
      </c>
    </row>
    <row r="812" spans="1:7" x14ac:dyDescent="0.25">
      <c r="A812">
        <f>IF(AND(Sheet2!B812=Sheet1!B$19,Sheet2!C812=Sheet1!C$19,Sheet2!D812=Sheet1!D$19),1,0)</f>
        <v>0</v>
      </c>
      <c r="B812" s="10" t="s">
        <v>215</v>
      </c>
      <c r="C812" s="11">
        <v>1</v>
      </c>
      <c r="D812" s="22">
        <v>7</v>
      </c>
      <c r="E812" s="22">
        <v>11197</v>
      </c>
      <c r="F812" s="10" t="s">
        <v>74</v>
      </c>
      <c r="G812" s="10" t="str">
        <f t="shared" si="4"/>
        <v>11197A</v>
      </c>
    </row>
    <row r="813" spans="1:7" x14ac:dyDescent="0.25">
      <c r="A813">
        <f>IF(AND(Sheet2!B813=Sheet1!B$19,Sheet2!C813=Sheet1!C$19,Sheet2!D813=Sheet1!D$19),1,0)</f>
        <v>0</v>
      </c>
      <c r="B813" s="10" t="s">
        <v>215</v>
      </c>
      <c r="C813" s="11">
        <v>1</v>
      </c>
      <c r="D813" s="22">
        <v>8</v>
      </c>
      <c r="E813" s="22">
        <v>11198</v>
      </c>
      <c r="F813" s="10" t="s">
        <v>74</v>
      </c>
      <c r="G813" s="10" t="str">
        <f t="shared" si="4"/>
        <v>11198A</v>
      </c>
    </row>
    <row r="814" spans="1:7" x14ac:dyDescent="0.25">
      <c r="A814">
        <f>IF(AND(Sheet2!B814=Sheet1!B$19,Sheet2!C814=Sheet1!C$19,Sheet2!D814=Sheet1!D$19),1,0)</f>
        <v>0</v>
      </c>
      <c r="B814" s="10" t="s">
        <v>215</v>
      </c>
      <c r="C814" s="11">
        <v>1</v>
      </c>
      <c r="D814" s="22">
        <v>9</v>
      </c>
      <c r="E814" s="22">
        <v>11199</v>
      </c>
      <c r="F814" s="10" t="s">
        <v>74</v>
      </c>
      <c r="G814" s="10" t="str">
        <f t="shared" si="4"/>
        <v>11199A</v>
      </c>
    </row>
    <row r="815" spans="1:7" x14ac:dyDescent="0.25">
      <c r="A815">
        <f>IF(AND(Sheet2!B815=Sheet1!B$19,Sheet2!C815=Sheet1!C$19,Sheet2!D815=Sheet1!D$19),1,0)</f>
        <v>0</v>
      </c>
      <c r="B815" s="10" t="s">
        <v>215</v>
      </c>
      <c r="C815" s="11">
        <v>1</v>
      </c>
      <c r="D815" s="22">
        <v>10</v>
      </c>
      <c r="E815" s="22">
        <v>11200</v>
      </c>
      <c r="F815" s="10" t="s">
        <v>74</v>
      </c>
      <c r="G815" s="10" t="str">
        <f t="shared" si="4"/>
        <v>11200A</v>
      </c>
    </row>
    <row r="816" spans="1:7" x14ac:dyDescent="0.25">
      <c r="A816">
        <f>IF(AND(Sheet2!B816=Sheet1!B$19,Sheet2!C816=Sheet1!C$19,Sheet2!D816=Sheet1!D$19),1,0)</f>
        <v>0</v>
      </c>
      <c r="B816" s="10" t="s">
        <v>215</v>
      </c>
      <c r="C816" s="11">
        <v>1</v>
      </c>
      <c r="D816" s="22">
        <v>11</v>
      </c>
      <c r="E816" s="22">
        <v>11201</v>
      </c>
      <c r="F816" s="10" t="s">
        <v>74</v>
      </c>
      <c r="G816" s="10" t="str">
        <f t="shared" si="4"/>
        <v>11201A</v>
      </c>
    </row>
    <row r="817" spans="1:7" x14ac:dyDescent="0.25">
      <c r="A817">
        <f>IF(AND(Sheet2!B817=Sheet1!B$19,Sheet2!C817=Sheet1!C$19,Sheet2!D817=Sheet1!D$19),1,0)</f>
        <v>0</v>
      </c>
      <c r="B817" s="10" t="s">
        <v>215</v>
      </c>
      <c r="C817" s="11">
        <v>1</v>
      </c>
      <c r="D817" s="22">
        <v>12</v>
      </c>
      <c r="E817" s="22">
        <v>11202</v>
      </c>
      <c r="F817" s="10" t="s">
        <v>74</v>
      </c>
      <c r="G817" s="10" t="str">
        <f t="shared" si="4"/>
        <v>11202A</v>
      </c>
    </row>
    <row r="818" spans="1:7" x14ac:dyDescent="0.25">
      <c r="A818">
        <f>IF(AND(Sheet2!B818=Sheet1!B$19,Sheet2!C818=Sheet1!C$19,Sheet2!D818=Sheet1!D$19),1,0)</f>
        <v>0</v>
      </c>
      <c r="B818" s="10" t="s">
        <v>215</v>
      </c>
      <c r="C818" s="11">
        <v>1</v>
      </c>
      <c r="D818" s="22">
        <v>13</v>
      </c>
      <c r="E818" s="22">
        <v>11203</v>
      </c>
      <c r="F818" s="10" t="s">
        <v>74</v>
      </c>
      <c r="G818" s="10" t="str">
        <f t="shared" si="4"/>
        <v>11203A</v>
      </c>
    </row>
    <row r="819" spans="1:7" x14ac:dyDescent="0.25">
      <c r="A819">
        <f>IF(AND(Sheet2!B819=Sheet1!B$19,Sheet2!C819=Sheet1!C$19,Sheet2!D819=Sheet1!D$19),1,0)</f>
        <v>0</v>
      </c>
      <c r="B819" s="10" t="s">
        <v>215</v>
      </c>
      <c r="C819" s="11">
        <v>1</v>
      </c>
      <c r="D819" s="22">
        <v>14</v>
      </c>
      <c r="E819" s="22">
        <v>11204</v>
      </c>
      <c r="F819" s="10" t="s">
        <v>74</v>
      </c>
      <c r="G819" s="10" t="str">
        <f t="shared" si="4"/>
        <v>11204A</v>
      </c>
    </row>
    <row r="820" spans="1:7" x14ac:dyDescent="0.25">
      <c r="A820">
        <f>IF(AND(Sheet2!B820=Sheet1!B$19,Sheet2!C820=Sheet1!C$19,Sheet2!D820=Sheet1!D$19),1,0)</f>
        <v>0</v>
      </c>
      <c r="B820" s="10" t="s">
        <v>215</v>
      </c>
      <c r="C820" s="11">
        <v>1</v>
      </c>
      <c r="D820" s="22">
        <v>15</v>
      </c>
      <c r="E820" s="22">
        <v>11205</v>
      </c>
      <c r="F820" s="10" t="s">
        <v>74</v>
      </c>
      <c r="G820" s="10" t="str">
        <f t="shared" si="4"/>
        <v>11205A</v>
      </c>
    </row>
    <row r="821" spans="1:7" x14ac:dyDescent="0.25">
      <c r="A821">
        <f>IF(AND(Sheet2!B821=Sheet1!B$19,Sheet2!C821=Sheet1!C$19,Sheet2!D821=Sheet1!D$19),1,0)</f>
        <v>0</v>
      </c>
      <c r="B821" s="10" t="s">
        <v>215</v>
      </c>
      <c r="C821" s="11">
        <v>1</v>
      </c>
      <c r="D821" s="22">
        <v>16</v>
      </c>
      <c r="E821" s="22">
        <v>11206</v>
      </c>
      <c r="F821" s="10" t="s">
        <v>74</v>
      </c>
      <c r="G821" s="10" t="str">
        <f t="shared" si="4"/>
        <v>11206A</v>
      </c>
    </row>
    <row r="822" spans="1:7" x14ac:dyDescent="0.25">
      <c r="A822">
        <f>IF(AND(Sheet2!B822=Sheet1!B$19,Sheet2!C822=Sheet1!C$19,Sheet2!D822=Sheet1!D$19),1,0)</f>
        <v>0</v>
      </c>
      <c r="B822" s="10" t="s">
        <v>215</v>
      </c>
      <c r="C822" s="11">
        <v>1</v>
      </c>
      <c r="D822" s="22">
        <v>17</v>
      </c>
      <c r="E822" s="22">
        <v>11207</v>
      </c>
      <c r="F822" s="10" t="s">
        <v>74</v>
      </c>
      <c r="G822" s="10" t="str">
        <f t="shared" si="4"/>
        <v>11207A</v>
      </c>
    </row>
    <row r="823" spans="1:7" x14ac:dyDescent="0.25">
      <c r="A823">
        <f>IF(AND(Sheet2!B823=Sheet1!B$19,Sheet2!C823=Sheet1!C$19,Sheet2!D823=Sheet1!D$19),1,0)</f>
        <v>0</v>
      </c>
      <c r="B823" s="10" t="s">
        <v>215</v>
      </c>
      <c r="C823" s="11">
        <v>1</v>
      </c>
      <c r="D823" s="22">
        <v>18</v>
      </c>
      <c r="E823" s="22">
        <v>11208</v>
      </c>
      <c r="F823" s="10" t="s">
        <v>74</v>
      </c>
      <c r="G823" s="10" t="str">
        <f t="shared" si="4"/>
        <v>11208A</v>
      </c>
    </row>
    <row r="824" spans="1:7" x14ac:dyDescent="0.25">
      <c r="A824">
        <f>IF(AND(Sheet2!B824=Sheet1!B$19,Sheet2!C824=Sheet1!C$19,Sheet2!D824=Sheet1!D$19),1,0)</f>
        <v>0</v>
      </c>
      <c r="B824" s="10" t="s">
        <v>215</v>
      </c>
      <c r="C824" s="11">
        <v>1</v>
      </c>
      <c r="D824" s="22">
        <v>19</v>
      </c>
      <c r="E824" s="22">
        <v>11209</v>
      </c>
      <c r="F824" s="10" t="s">
        <v>74</v>
      </c>
      <c r="G824" s="10" t="str">
        <f t="shared" si="4"/>
        <v>11209A</v>
      </c>
    </row>
    <row r="825" spans="1:7" x14ac:dyDescent="0.25">
      <c r="A825">
        <f>IF(AND(Sheet2!B825=Sheet1!B$19,Sheet2!C825=Sheet1!C$19,Sheet2!D825=Sheet1!D$19),1,0)</f>
        <v>0</v>
      </c>
      <c r="B825" s="10" t="s">
        <v>215</v>
      </c>
      <c r="C825" s="11">
        <v>1</v>
      </c>
      <c r="D825" s="22">
        <v>20</v>
      </c>
      <c r="E825" s="22">
        <v>11210</v>
      </c>
      <c r="F825" s="10" t="s">
        <v>74</v>
      </c>
      <c r="G825" s="10" t="str">
        <f t="shared" si="4"/>
        <v>11210A</v>
      </c>
    </row>
    <row r="826" spans="1:7" x14ac:dyDescent="0.25">
      <c r="A826">
        <f>IF(AND(Sheet2!B826=Sheet1!B$19,Sheet2!C826=Sheet1!C$19,Sheet2!D826=Sheet1!D$19),1,0)</f>
        <v>0</v>
      </c>
      <c r="B826" s="10" t="s">
        <v>215</v>
      </c>
      <c r="C826" s="11">
        <v>1</v>
      </c>
      <c r="D826" s="22">
        <v>21</v>
      </c>
      <c r="E826" s="22">
        <v>11586</v>
      </c>
      <c r="F826" s="10" t="s">
        <v>74</v>
      </c>
      <c r="G826" s="10" t="str">
        <f t="shared" si="4"/>
        <v>11586A</v>
      </c>
    </row>
    <row r="827" spans="1:7" x14ac:dyDescent="0.25">
      <c r="A827">
        <f>IF(AND(Sheet2!B827=Sheet1!B$19,Sheet2!C827=Sheet1!C$19,Sheet2!D827=Sheet1!D$19),1,0)</f>
        <v>0</v>
      </c>
      <c r="B827" s="10" t="s">
        <v>215</v>
      </c>
      <c r="C827" s="11">
        <v>1</v>
      </c>
      <c r="D827" s="22">
        <v>22</v>
      </c>
      <c r="E827" s="22">
        <v>11587</v>
      </c>
      <c r="F827" s="10" t="s">
        <v>74</v>
      </c>
      <c r="G827" s="10" t="str">
        <f t="shared" si="4"/>
        <v>11587A</v>
      </c>
    </row>
    <row r="828" spans="1:7" x14ac:dyDescent="0.25">
      <c r="A828">
        <f>IF(AND(Sheet2!B828=Sheet1!B$19,Sheet2!C828=Sheet1!C$19,Sheet2!D828=Sheet1!D$19),1,0)</f>
        <v>0</v>
      </c>
      <c r="B828" s="10" t="s">
        <v>215</v>
      </c>
      <c r="C828" s="11">
        <v>1</v>
      </c>
      <c r="D828" s="22">
        <v>23</v>
      </c>
      <c r="E828" s="22">
        <v>11588</v>
      </c>
      <c r="F828" s="10" t="s">
        <v>74</v>
      </c>
      <c r="G828" s="10" t="str">
        <f t="shared" si="4"/>
        <v>11588A</v>
      </c>
    </row>
    <row r="829" spans="1:7" x14ac:dyDescent="0.25">
      <c r="A829">
        <f>IF(AND(Sheet2!B829=Sheet1!B$19,Sheet2!C829=Sheet1!C$19,Sheet2!D829=Sheet1!D$19),1,0)</f>
        <v>0</v>
      </c>
      <c r="B829" s="10" t="s">
        <v>215</v>
      </c>
      <c r="C829" s="11">
        <v>1</v>
      </c>
      <c r="D829" s="22">
        <v>24</v>
      </c>
      <c r="E829" s="22">
        <v>11589</v>
      </c>
      <c r="F829" s="10" t="s">
        <v>74</v>
      </c>
      <c r="G829" s="10" t="str">
        <f t="shared" si="4"/>
        <v>11589A</v>
      </c>
    </row>
    <row r="830" spans="1:7" x14ac:dyDescent="0.25">
      <c r="A830">
        <f>IF(AND(Sheet2!B830=Sheet1!B$19,Sheet2!C830=Sheet1!C$19,Sheet2!D830=Sheet1!D$19),1,0)</f>
        <v>0</v>
      </c>
      <c r="B830" s="10" t="s">
        <v>215</v>
      </c>
      <c r="C830" s="11">
        <v>1</v>
      </c>
      <c r="D830" s="22">
        <v>25</v>
      </c>
      <c r="E830" s="22">
        <v>11590</v>
      </c>
      <c r="F830" s="10" t="s">
        <v>74</v>
      </c>
      <c r="G830" s="10" t="str">
        <f t="shared" si="4"/>
        <v>11590A</v>
      </c>
    </row>
    <row r="831" spans="1:7" x14ac:dyDescent="0.25">
      <c r="A831">
        <f>IF(AND(Sheet2!B831=Sheet1!B$19,Sheet2!C831=Sheet1!C$19,Sheet2!D831=Sheet1!D$19),1,0)</f>
        <v>0</v>
      </c>
      <c r="B831" s="10" t="s">
        <v>215</v>
      </c>
      <c r="C831" s="11">
        <v>1</v>
      </c>
      <c r="D831" s="22">
        <v>26</v>
      </c>
      <c r="E831" s="22">
        <v>11591</v>
      </c>
      <c r="F831" s="10" t="s">
        <v>74</v>
      </c>
      <c r="G831" s="10" t="str">
        <f t="shared" si="4"/>
        <v>11591A</v>
      </c>
    </row>
    <row r="832" spans="1:7" x14ac:dyDescent="0.25">
      <c r="A832">
        <f>IF(AND(Sheet2!B832=Sheet1!B$19,Sheet2!C832=Sheet1!C$19,Sheet2!D832=Sheet1!D$19),1,0)</f>
        <v>0</v>
      </c>
      <c r="B832" s="10" t="s">
        <v>215</v>
      </c>
      <c r="C832" s="11">
        <v>1</v>
      </c>
      <c r="D832" s="22">
        <v>27</v>
      </c>
      <c r="E832" s="22">
        <v>11592</v>
      </c>
      <c r="F832" s="10" t="s">
        <v>74</v>
      </c>
      <c r="G832" s="10" t="str">
        <f t="shared" si="4"/>
        <v>11592A</v>
      </c>
    </row>
    <row r="833" spans="1:7" x14ac:dyDescent="0.25">
      <c r="A833">
        <f>IF(AND(Sheet2!B833=Sheet1!B$19,Sheet2!C833=Sheet1!C$19,Sheet2!D833=Sheet1!D$19),1,0)</f>
        <v>0</v>
      </c>
      <c r="B833" s="10" t="s">
        <v>215</v>
      </c>
      <c r="C833" s="11">
        <v>1</v>
      </c>
      <c r="D833" s="22">
        <v>28</v>
      </c>
      <c r="E833" s="22">
        <v>11593</v>
      </c>
      <c r="F833" s="10" t="s">
        <v>74</v>
      </c>
      <c r="G833" s="10" t="str">
        <f t="shared" si="4"/>
        <v>11593A</v>
      </c>
    </row>
    <row r="834" spans="1:7" x14ac:dyDescent="0.25">
      <c r="A834">
        <f>IF(AND(Sheet2!B834=Sheet1!B$19,Sheet2!C834=Sheet1!C$19,Sheet2!D834=Sheet1!D$19),1,0)</f>
        <v>0</v>
      </c>
      <c r="B834" s="10" t="s">
        <v>215</v>
      </c>
      <c r="C834" s="11">
        <v>1</v>
      </c>
      <c r="D834" s="22">
        <v>29</v>
      </c>
      <c r="E834" s="22">
        <v>11594</v>
      </c>
      <c r="F834" s="10" t="s">
        <v>74</v>
      </c>
      <c r="G834" s="10" t="str">
        <f t="shared" ref="G834:G897" si="5">CONCATENATE(E834,F834)</f>
        <v>11594A</v>
      </c>
    </row>
    <row r="835" spans="1:7" x14ac:dyDescent="0.25">
      <c r="A835">
        <f>IF(AND(Sheet2!B835=Sheet1!B$19,Sheet2!C835=Sheet1!C$19,Sheet2!D835=Sheet1!D$19),1,0)</f>
        <v>0</v>
      </c>
      <c r="B835" s="10" t="s">
        <v>215</v>
      </c>
      <c r="C835" s="11">
        <v>1</v>
      </c>
      <c r="D835" s="22">
        <v>30</v>
      </c>
      <c r="E835" s="22">
        <v>11595</v>
      </c>
      <c r="F835" s="10" t="s">
        <v>74</v>
      </c>
      <c r="G835" s="10" t="str">
        <f t="shared" si="5"/>
        <v>11595A</v>
      </c>
    </row>
    <row r="836" spans="1:7" x14ac:dyDescent="0.25">
      <c r="A836">
        <f>IF(AND(Sheet2!B836=Sheet1!B$19,Sheet2!C836=Sheet1!C$19,Sheet2!D836=Sheet1!D$19),1,0)</f>
        <v>0</v>
      </c>
      <c r="B836" s="10" t="s">
        <v>215</v>
      </c>
      <c r="C836" s="11">
        <v>1</v>
      </c>
      <c r="D836" s="22">
        <v>31</v>
      </c>
      <c r="E836" s="22">
        <v>11596</v>
      </c>
      <c r="F836" s="10" t="s">
        <v>74</v>
      </c>
      <c r="G836" s="10" t="str">
        <f t="shared" si="5"/>
        <v>11596A</v>
      </c>
    </row>
    <row r="837" spans="1:7" x14ac:dyDescent="0.25">
      <c r="A837">
        <f>IF(AND(Sheet2!B837=Sheet1!B$19,Sheet2!C837=Sheet1!C$19,Sheet2!D837=Sheet1!D$19),1,0)</f>
        <v>0</v>
      </c>
      <c r="B837" s="10" t="s">
        <v>215</v>
      </c>
      <c r="C837" s="11">
        <v>1</v>
      </c>
      <c r="D837" s="22">
        <v>32</v>
      </c>
      <c r="E837" s="22">
        <v>11597</v>
      </c>
      <c r="F837" s="10" t="s">
        <v>74</v>
      </c>
      <c r="G837" s="10" t="str">
        <f t="shared" si="5"/>
        <v>11597A</v>
      </c>
    </row>
    <row r="838" spans="1:7" x14ac:dyDescent="0.25">
      <c r="A838">
        <f>IF(AND(Sheet2!B838=Sheet1!B$19,Sheet2!C838=Sheet1!C$19,Sheet2!D838=Sheet1!D$19),1,0)</f>
        <v>0</v>
      </c>
      <c r="B838" s="10" t="s">
        <v>215</v>
      </c>
      <c r="C838" s="11">
        <v>1</v>
      </c>
      <c r="D838" s="22">
        <v>33</v>
      </c>
      <c r="E838" s="22">
        <v>11598</v>
      </c>
      <c r="F838" s="10" t="s">
        <v>74</v>
      </c>
      <c r="G838" s="10" t="str">
        <f t="shared" si="5"/>
        <v>11598A</v>
      </c>
    </row>
    <row r="839" spans="1:7" x14ac:dyDescent="0.25">
      <c r="A839">
        <f>IF(AND(Sheet2!B839=Sheet1!B$19,Sheet2!C839=Sheet1!C$19,Sheet2!D839=Sheet1!D$19),1,0)</f>
        <v>0</v>
      </c>
      <c r="B839" s="10" t="s">
        <v>215</v>
      </c>
      <c r="C839" s="11">
        <v>1</v>
      </c>
      <c r="D839" s="22">
        <v>34</v>
      </c>
      <c r="E839" s="22">
        <v>11599</v>
      </c>
      <c r="F839" s="10" t="s">
        <v>74</v>
      </c>
      <c r="G839" s="10" t="str">
        <f t="shared" si="5"/>
        <v>11599A</v>
      </c>
    </row>
    <row r="840" spans="1:7" x14ac:dyDescent="0.25">
      <c r="A840">
        <f>IF(AND(Sheet2!B840=Sheet1!B$19,Sheet2!C840=Sheet1!C$19,Sheet2!D840=Sheet1!D$19),1,0)</f>
        <v>0</v>
      </c>
      <c r="B840" s="10" t="s">
        <v>215</v>
      </c>
      <c r="C840" s="11">
        <v>1</v>
      </c>
      <c r="D840" s="22">
        <v>35</v>
      </c>
      <c r="E840" s="22">
        <v>11600</v>
      </c>
      <c r="F840" s="10" t="s">
        <v>74</v>
      </c>
      <c r="G840" s="10" t="str">
        <f t="shared" si="5"/>
        <v>11600A</v>
      </c>
    </row>
    <row r="841" spans="1:7" x14ac:dyDescent="0.25">
      <c r="A841">
        <f>IF(AND(Sheet2!B841=Sheet1!B$19,Sheet2!C841=Sheet1!C$19,Sheet2!D841=Sheet1!D$19),1,0)</f>
        <v>0</v>
      </c>
      <c r="B841" s="10" t="s">
        <v>215</v>
      </c>
      <c r="C841" s="11">
        <v>1</v>
      </c>
      <c r="D841" s="22">
        <v>36</v>
      </c>
      <c r="E841" s="22">
        <v>11601</v>
      </c>
      <c r="F841" s="10" t="s">
        <v>74</v>
      </c>
      <c r="G841" s="10" t="str">
        <f t="shared" si="5"/>
        <v>11601A</v>
      </c>
    </row>
    <row r="842" spans="1:7" x14ac:dyDescent="0.25">
      <c r="A842">
        <f>IF(AND(Sheet2!B842=Sheet1!B$19,Sheet2!C842=Sheet1!C$19,Sheet2!D842=Sheet1!D$19),1,0)</f>
        <v>0</v>
      </c>
      <c r="B842" s="10" t="s">
        <v>215</v>
      </c>
      <c r="C842" s="11">
        <v>1</v>
      </c>
      <c r="D842" s="22">
        <v>37</v>
      </c>
      <c r="E842" s="22">
        <v>11602</v>
      </c>
      <c r="F842" s="10" t="s">
        <v>74</v>
      </c>
      <c r="G842" s="10" t="str">
        <f t="shared" si="5"/>
        <v>11602A</v>
      </c>
    </row>
    <row r="843" spans="1:7" x14ac:dyDescent="0.25">
      <c r="A843">
        <f>IF(AND(Sheet2!B843=Sheet1!B$19,Sheet2!C843=Sheet1!C$19,Sheet2!D843=Sheet1!D$19),1,0)</f>
        <v>0</v>
      </c>
      <c r="B843" s="10" t="s">
        <v>215</v>
      </c>
      <c r="C843" s="11">
        <v>1</v>
      </c>
      <c r="D843" s="22">
        <v>38</v>
      </c>
      <c r="E843" s="22">
        <v>11603</v>
      </c>
      <c r="F843" s="10" t="s">
        <v>74</v>
      </c>
      <c r="G843" s="10" t="str">
        <f t="shared" si="5"/>
        <v>11603A</v>
      </c>
    </row>
    <row r="844" spans="1:7" x14ac:dyDescent="0.25">
      <c r="A844">
        <f>IF(AND(Sheet2!B844=Sheet1!B$19,Sheet2!C844=Sheet1!C$19,Sheet2!D844=Sheet1!D$19),1,0)</f>
        <v>0</v>
      </c>
      <c r="B844" s="10" t="s">
        <v>215</v>
      </c>
      <c r="C844" s="11">
        <v>1</v>
      </c>
      <c r="D844" s="22">
        <v>39</v>
      </c>
      <c r="E844" s="22">
        <v>11604</v>
      </c>
      <c r="F844" s="10" t="s">
        <v>74</v>
      </c>
      <c r="G844" s="10" t="str">
        <f t="shared" si="5"/>
        <v>11604A</v>
      </c>
    </row>
    <row r="845" spans="1:7" x14ac:dyDescent="0.25">
      <c r="A845">
        <f>IF(AND(Sheet2!B845=Sheet1!B$19,Sheet2!C845=Sheet1!C$19,Sheet2!D845=Sheet1!D$19),1,0)</f>
        <v>0</v>
      </c>
      <c r="B845" s="10" t="s">
        <v>215</v>
      </c>
      <c r="C845" s="11">
        <v>1</v>
      </c>
      <c r="D845" s="22">
        <v>40</v>
      </c>
      <c r="E845" s="22">
        <v>11605</v>
      </c>
      <c r="F845" s="10" t="s">
        <v>74</v>
      </c>
      <c r="G845" s="10" t="str">
        <f t="shared" si="5"/>
        <v>11605A</v>
      </c>
    </row>
    <row r="846" spans="1:7" x14ac:dyDescent="0.25">
      <c r="A846">
        <f>IF(AND(Sheet2!B846=Sheet1!B$19,Sheet2!C846=Sheet1!C$19,Sheet2!D846=Sheet1!D$19),1,0)</f>
        <v>0</v>
      </c>
      <c r="B846" s="10" t="s">
        <v>215</v>
      </c>
      <c r="C846" s="11">
        <v>1</v>
      </c>
      <c r="D846" s="22">
        <v>41</v>
      </c>
      <c r="E846" s="22">
        <v>11606</v>
      </c>
      <c r="F846" s="10" t="s">
        <v>74</v>
      </c>
      <c r="G846" s="10" t="str">
        <f t="shared" si="5"/>
        <v>11606A</v>
      </c>
    </row>
    <row r="847" spans="1:7" x14ac:dyDescent="0.25">
      <c r="A847">
        <f>IF(AND(Sheet2!B847=Sheet1!B$19,Sheet2!C847=Sheet1!C$19,Sheet2!D847=Sheet1!D$19),1,0)</f>
        <v>0</v>
      </c>
      <c r="B847" s="10" t="s">
        <v>215</v>
      </c>
      <c r="C847" s="11">
        <v>1</v>
      </c>
      <c r="D847" s="22">
        <v>42</v>
      </c>
      <c r="E847" s="22">
        <v>11607</v>
      </c>
      <c r="F847" s="10" t="s">
        <v>74</v>
      </c>
      <c r="G847" s="10" t="str">
        <f t="shared" si="5"/>
        <v>11607A</v>
      </c>
    </row>
    <row r="848" spans="1:7" x14ac:dyDescent="0.25">
      <c r="A848">
        <f>IF(AND(Sheet2!B848=Sheet1!B$19,Sheet2!C848=Sheet1!C$19,Sheet2!D848=Sheet1!D$19),1,0)</f>
        <v>0</v>
      </c>
      <c r="B848" s="10" t="s">
        <v>215</v>
      </c>
      <c r="C848" s="11">
        <v>1</v>
      </c>
      <c r="D848" s="22">
        <v>43</v>
      </c>
      <c r="E848" s="22">
        <v>11608</v>
      </c>
      <c r="F848" s="10" t="s">
        <v>74</v>
      </c>
      <c r="G848" s="10" t="str">
        <f t="shared" si="5"/>
        <v>11608A</v>
      </c>
    </row>
    <row r="849" spans="1:7" x14ac:dyDescent="0.25">
      <c r="A849">
        <f>IF(AND(Sheet2!B849=Sheet1!B$19,Sheet2!C849=Sheet1!C$19,Sheet2!D849=Sheet1!D$19),1,0)</f>
        <v>0</v>
      </c>
      <c r="B849" s="10" t="s">
        <v>215</v>
      </c>
      <c r="C849" s="11">
        <v>1</v>
      </c>
      <c r="D849" s="22">
        <v>44</v>
      </c>
      <c r="E849" s="22">
        <v>11609</v>
      </c>
      <c r="F849" s="10" t="s">
        <v>74</v>
      </c>
      <c r="G849" s="10" t="str">
        <f t="shared" si="5"/>
        <v>11609A</v>
      </c>
    </row>
    <row r="850" spans="1:7" x14ac:dyDescent="0.25">
      <c r="A850">
        <f>IF(AND(Sheet2!B850=Sheet1!B$19,Sheet2!C850=Sheet1!C$19,Sheet2!D850=Sheet1!D$19),1,0)</f>
        <v>0</v>
      </c>
      <c r="B850" s="10" t="s">
        <v>215</v>
      </c>
      <c r="C850" s="11">
        <v>1</v>
      </c>
      <c r="D850" s="22">
        <v>45</v>
      </c>
      <c r="E850" s="22">
        <v>11610</v>
      </c>
      <c r="F850" s="10" t="s">
        <v>74</v>
      </c>
      <c r="G850" s="10" t="str">
        <f t="shared" si="5"/>
        <v>11610A</v>
      </c>
    </row>
    <row r="851" spans="1:7" x14ac:dyDescent="0.25">
      <c r="A851">
        <f>IF(AND(Sheet2!B851=Sheet1!B$19,Sheet2!C851=Sheet1!C$19,Sheet2!D851=Sheet1!D$19),1,0)</f>
        <v>0</v>
      </c>
      <c r="B851" s="10" t="s">
        <v>215</v>
      </c>
      <c r="C851" s="11">
        <v>1</v>
      </c>
      <c r="D851" s="22">
        <v>46</v>
      </c>
      <c r="E851" s="22">
        <v>11611</v>
      </c>
      <c r="F851" s="10" t="s">
        <v>74</v>
      </c>
      <c r="G851" s="10" t="str">
        <f t="shared" si="5"/>
        <v>11611A</v>
      </c>
    </row>
    <row r="852" spans="1:7" x14ac:dyDescent="0.25">
      <c r="A852">
        <f>IF(AND(Sheet2!B852=Sheet1!B$19,Sheet2!C852=Sheet1!C$19,Sheet2!D852=Sheet1!D$19),1,0)</f>
        <v>0</v>
      </c>
      <c r="B852" s="10" t="s">
        <v>215</v>
      </c>
      <c r="C852" s="11">
        <v>1</v>
      </c>
      <c r="D852" s="22">
        <v>47</v>
      </c>
      <c r="E852" s="22">
        <v>11612</v>
      </c>
      <c r="F852" s="10" t="s">
        <v>74</v>
      </c>
      <c r="G852" s="10" t="str">
        <f t="shared" si="5"/>
        <v>11612A</v>
      </c>
    </row>
    <row r="853" spans="1:7" x14ac:dyDescent="0.25">
      <c r="A853">
        <f>IF(AND(Sheet2!B853=Sheet1!B$19,Sheet2!C853=Sheet1!C$19,Sheet2!D853=Sheet1!D$19),1,0)</f>
        <v>0</v>
      </c>
      <c r="B853" s="10" t="s">
        <v>215</v>
      </c>
      <c r="C853" s="11">
        <v>1</v>
      </c>
      <c r="D853" s="22">
        <v>48</v>
      </c>
      <c r="E853" s="22">
        <v>11613</v>
      </c>
      <c r="F853" s="10" t="s">
        <v>74</v>
      </c>
      <c r="G853" s="10" t="str">
        <f t="shared" si="5"/>
        <v>11613A</v>
      </c>
    </row>
    <row r="854" spans="1:7" x14ac:dyDescent="0.25">
      <c r="A854">
        <f>IF(AND(Sheet2!B854=Sheet1!B$19,Sheet2!C854=Sheet1!C$19,Sheet2!D854=Sheet1!D$19),1,0)</f>
        <v>0</v>
      </c>
      <c r="B854" s="10" t="s">
        <v>215</v>
      </c>
      <c r="C854" s="11">
        <v>1</v>
      </c>
      <c r="D854" s="22">
        <v>49</v>
      </c>
      <c r="E854" s="22">
        <v>11614</v>
      </c>
      <c r="F854" s="10" t="s">
        <v>74</v>
      </c>
      <c r="G854" s="10" t="str">
        <f t="shared" si="5"/>
        <v>11614A</v>
      </c>
    </row>
    <row r="855" spans="1:7" x14ac:dyDescent="0.25">
      <c r="A855">
        <f>IF(AND(Sheet2!B855=Sheet1!B$19,Sheet2!C855=Sheet1!C$19,Sheet2!D855=Sheet1!D$19),1,0)</f>
        <v>0</v>
      </c>
      <c r="B855" s="10" t="s">
        <v>215</v>
      </c>
      <c r="C855" s="11">
        <v>1</v>
      </c>
      <c r="D855" s="22">
        <v>50</v>
      </c>
      <c r="E855" s="22">
        <v>11615</v>
      </c>
      <c r="F855" s="10" t="s">
        <v>74</v>
      </c>
      <c r="G855" s="10" t="str">
        <f t="shared" si="5"/>
        <v>11615A</v>
      </c>
    </row>
    <row r="856" spans="1:7" x14ac:dyDescent="0.25">
      <c r="A856">
        <f>IF(AND(Sheet2!B856=Sheet1!B$19,Sheet2!C856=Sheet1!C$19,Sheet2!D856=Sheet1!D$19),1,0)</f>
        <v>0</v>
      </c>
      <c r="B856" s="10" t="s">
        <v>215</v>
      </c>
      <c r="C856" s="11">
        <v>1</v>
      </c>
      <c r="D856" s="22">
        <v>51</v>
      </c>
      <c r="E856" s="22">
        <v>11616</v>
      </c>
      <c r="F856" s="10" t="s">
        <v>74</v>
      </c>
      <c r="G856" s="10" t="str">
        <f t="shared" si="5"/>
        <v>11616A</v>
      </c>
    </row>
    <row r="857" spans="1:7" x14ac:dyDescent="0.25">
      <c r="A857">
        <f>IF(AND(Sheet2!B857=Sheet1!B$19,Sheet2!C857=Sheet1!C$19,Sheet2!D857=Sheet1!D$19),1,0)</f>
        <v>0</v>
      </c>
      <c r="B857" s="10" t="s">
        <v>215</v>
      </c>
      <c r="C857" s="11">
        <v>1</v>
      </c>
      <c r="D857" s="22">
        <v>52</v>
      </c>
      <c r="E857" s="22">
        <v>11617</v>
      </c>
      <c r="F857" s="10" t="s">
        <v>74</v>
      </c>
      <c r="G857" s="10" t="str">
        <f t="shared" si="5"/>
        <v>11617A</v>
      </c>
    </row>
    <row r="858" spans="1:7" x14ac:dyDescent="0.25">
      <c r="A858">
        <f>IF(AND(Sheet2!B858=Sheet1!B$19,Sheet2!C858=Sheet1!C$19,Sheet2!D858=Sheet1!D$19),1,0)</f>
        <v>0</v>
      </c>
      <c r="B858" s="10" t="s">
        <v>215</v>
      </c>
      <c r="C858" s="11">
        <v>1</v>
      </c>
      <c r="D858" s="22">
        <v>53</v>
      </c>
      <c r="E858" s="22">
        <v>11618</v>
      </c>
      <c r="F858" s="10" t="s">
        <v>74</v>
      </c>
      <c r="G858" s="10" t="str">
        <f t="shared" si="5"/>
        <v>11618A</v>
      </c>
    </row>
    <row r="859" spans="1:7" x14ac:dyDescent="0.25">
      <c r="A859">
        <f>IF(AND(Sheet2!B859=Sheet1!B$19,Sheet2!C859=Sheet1!C$19,Sheet2!D859=Sheet1!D$19),1,0)</f>
        <v>0</v>
      </c>
      <c r="B859" s="10" t="s">
        <v>215</v>
      </c>
      <c r="C859" s="11">
        <v>1</v>
      </c>
      <c r="D859" s="22">
        <v>54</v>
      </c>
      <c r="E859" s="22">
        <v>11619</v>
      </c>
      <c r="F859" s="10" t="s">
        <v>74</v>
      </c>
      <c r="G859" s="10" t="str">
        <f t="shared" si="5"/>
        <v>11619A</v>
      </c>
    </row>
    <row r="860" spans="1:7" x14ac:dyDescent="0.25">
      <c r="A860">
        <f>IF(AND(Sheet2!B860=Sheet1!B$19,Sheet2!C860=Sheet1!C$19,Sheet2!D860=Sheet1!D$19),1,0)</f>
        <v>0</v>
      </c>
      <c r="B860" s="10" t="s">
        <v>215</v>
      </c>
      <c r="C860" s="11">
        <v>1</v>
      </c>
      <c r="D860" s="22">
        <v>55</v>
      </c>
      <c r="E860" s="22">
        <v>11620</v>
      </c>
      <c r="F860" s="10" t="s">
        <v>74</v>
      </c>
      <c r="G860" s="10" t="str">
        <f t="shared" si="5"/>
        <v>11620A</v>
      </c>
    </row>
    <row r="861" spans="1:7" x14ac:dyDescent="0.25">
      <c r="A861">
        <f>IF(AND(Sheet2!B861=Sheet1!B$19,Sheet2!C861=Sheet1!C$19,Sheet2!D861=Sheet1!D$19),1,0)</f>
        <v>0</v>
      </c>
      <c r="B861" s="10" t="s">
        <v>215</v>
      </c>
      <c r="C861" s="11">
        <v>1</v>
      </c>
      <c r="D861" s="22">
        <v>56</v>
      </c>
      <c r="E861" s="22">
        <v>11621</v>
      </c>
      <c r="F861" s="10" t="s">
        <v>74</v>
      </c>
      <c r="G861" s="10" t="str">
        <f t="shared" si="5"/>
        <v>11621A</v>
      </c>
    </row>
    <row r="862" spans="1:7" x14ac:dyDescent="0.25">
      <c r="A862">
        <f>IF(AND(Sheet2!B862=Sheet1!B$19,Sheet2!C862=Sheet1!C$19,Sheet2!D862=Sheet1!D$19),1,0)</f>
        <v>0</v>
      </c>
      <c r="B862" s="10" t="s">
        <v>215</v>
      </c>
      <c r="C862" s="11">
        <v>1</v>
      </c>
      <c r="D862" s="22">
        <v>57</v>
      </c>
      <c r="E862" s="22">
        <v>11622</v>
      </c>
      <c r="F862" s="10" t="s">
        <v>74</v>
      </c>
      <c r="G862" s="10" t="str">
        <f t="shared" si="5"/>
        <v>11622A</v>
      </c>
    </row>
    <row r="863" spans="1:7" x14ac:dyDescent="0.25">
      <c r="A863">
        <f>IF(AND(Sheet2!B863=Sheet1!B$19,Sheet2!C863=Sheet1!C$19,Sheet2!D863=Sheet1!D$19),1,0)</f>
        <v>0</v>
      </c>
      <c r="B863" s="10" t="s">
        <v>215</v>
      </c>
      <c r="C863" s="11">
        <v>1</v>
      </c>
      <c r="D863" s="22">
        <v>58</v>
      </c>
      <c r="E863" s="22">
        <v>11623</v>
      </c>
      <c r="F863" s="10" t="s">
        <v>74</v>
      </c>
      <c r="G863" s="10" t="str">
        <f t="shared" si="5"/>
        <v>11623A</v>
      </c>
    </row>
    <row r="864" spans="1:7" x14ac:dyDescent="0.25">
      <c r="A864">
        <f>IF(AND(Sheet2!B864=Sheet1!B$19,Sheet2!C864=Sheet1!C$19,Sheet2!D864=Sheet1!D$19),1,0)</f>
        <v>0</v>
      </c>
      <c r="B864" s="10" t="s">
        <v>215</v>
      </c>
      <c r="C864" s="11">
        <v>1</v>
      </c>
      <c r="D864" s="22">
        <v>59</v>
      </c>
      <c r="E864" s="22">
        <v>11624</v>
      </c>
      <c r="F864" s="10" t="s">
        <v>74</v>
      </c>
      <c r="G864" s="10" t="str">
        <f t="shared" si="5"/>
        <v>11624A</v>
      </c>
    </row>
    <row r="865" spans="1:7" x14ac:dyDescent="0.25">
      <c r="A865">
        <f>IF(AND(Sheet2!B865=Sheet1!B$19,Sheet2!C865=Sheet1!C$19,Sheet2!D865=Sheet1!D$19),1,0)</f>
        <v>0</v>
      </c>
      <c r="B865" s="10" t="s">
        <v>215</v>
      </c>
      <c r="C865" s="11">
        <v>1</v>
      </c>
      <c r="D865" s="22">
        <v>60</v>
      </c>
      <c r="E865" s="22">
        <v>11625</v>
      </c>
      <c r="F865" s="10" t="s">
        <v>74</v>
      </c>
      <c r="G865" s="10" t="str">
        <f t="shared" si="5"/>
        <v>11625A</v>
      </c>
    </row>
    <row r="866" spans="1:7" x14ac:dyDescent="0.25">
      <c r="A866">
        <f>IF(AND(Sheet2!B866=Sheet1!B$19,Sheet2!C866=Sheet1!C$19,Sheet2!D866=Sheet1!D$19),1,0)</f>
        <v>0</v>
      </c>
      <c r="B866" s="10" t="s">
        <v>158</v>
      </c>
      <c r="C866" s="11">
        <v>0.375</v>
      </c>
      <c r="D866" s="22">
        <v>2</v>
      </c>
      <c r="E866" s="22">
        <v>12041</v>
      </c>
      <c r="F866" s="10" t="s">
        <v>74</v>
      </c>
      <c r="G866" s="10" t="str">
        <f t="shared" si="5"/>
        <v>12041A</v>
      </c>
    </row>
    <row r="867" spans="1:7" x14ac:dyDescent="0.25">
      <c r="A867">
        <f>IF(AND(Sheet2!B867=Sheet1!B$19,Sheet2!C867=Sheet1!C$19,Sheet2!D867=Sheet1!D$19),1,0)</f>
        <v>0</v>
      </c>
      <c r="B867" s="10" t="s">
        <v>158</v>
      </c>
      <c r="C867" s="11">
        <v>0.375</v>
      </c>
      <c r="D867" s="22">
        <v>3</v>
      </c>
      <c r="E867" s="22">
        <v>12042</v>
      </c>
      <c r="F867" s="10" t="s">
        <v>74</v>
      </c>
      <c r="G867" s="10" t="str">
        <f t="shared" si="5"/>
        <v>12042A</v>
      </c>
    </row>
    <row r="868" spans="1:7" x14ac:dyDescent="0.25">
      <c r="A868">
        <f>IF(AND(Sheet2!B868=Sheet1!B$19,Sheet2!C868=Sheet1!C$19,Sheet2!D868=Sheet1!D$19),1,0)</f>
        <v>0</v>
      </c>
      <c r="B868" s="10" t="s">
        <v>158</v>
      </c>
      <c r="C868" s="11">
        <v>0.375</v>
      </c>
      <c r="D868" s="22">
        <v>4</v>
      </c>
      <c r="E868" s="22">
        <v>12043</v>
      </c>
      <c r="F868" s="10" t="s">
        <v>74</v>
      </c>
      <c r="G868" s="10" t="str">
        <f t="shared" si="5"/>
        <v>12043A</v>
      </c>
    </row>
    <row r="869" spans="1:7" x14ac:dyDescent="0.25">
      <c r="A869">
        <f>IF(AND(Sheet2!B869=Sheet1!B$19,Sheet2!C869=Sheet1!C$19,Sheet2!D869=Sheet1!D$19),1,0)</f>
        <v>0</v>
      </c>
      <c r="B869" s="10" t="s">
        <v>158</v>
      </c>
      <c r="C869" s="11">
        <v>0.375</v>
      </c>
      <c r="D869" s="22">
        <v>5</v>
      </c>
      <c r="E869" s="22">
        <v>12044</v>
      </c>
      <c r="F869" s="10" t="s">
        <v>74</v>
      </c>
      <c r="G869" s="10" t="str">
        <f t="shared" si="5"/>
        <v>12044A</v>
      </c>
    </row>
    <row r="870" spans="1:7" x14ac:dyDescent="0.25">
      <c r="A870">
        <f>IF(AND(Sheet2!B870=Sheet1!B$19,Sheet2!C870=Sheet1!C$19,Sheet2!D870=Sheet1!D$19),1,0)</f>
        <v>0</v>
      </c>
      <c r="B870" s="10" t="s">
        <v>158</v>
      </c>
      <c r="C870" s="11">
        <v>0.375</v>
      </c>
      <c r="D870" s="22">
        <v>6</v>
      </c>
      <c r="E870" s="22">
        <v>12045</v>
      </c>
      <c r="F870" s="10" t="s">
        <v>74</v>
      </c>
      <c r="G870" s="10" t="str">
        <f t="shared" si="5"/>
        <v>12045A</v>
      </c>
    </row>
    <row r="871" spans="1:7" x14ac:dyDescent="0.25">
      <c r="A871">
        <f>IF(AND(Sheet2!B871=Sheet1!B$19,Sheet2!C871=Sheet1!C$19,Sheet2!D871=Sheet1!D$19),1,0)</f>
        <v>0</v>
      </c>
      <c r="B871" s="10" t="s">
        <v>158</v>
      </c>
      <c r="C871" s="11">
        <v>0.375</v>
      </c>
      <c r="D871" s="22">
        <v>7</v>
      </c>
      <c r="E871" s="22">
        <v>12046</v>
      </c>
      <c r="F871" s="10" t="s">
        <v>74</v>
      </c>
      <c r="G871" s="10" t="str">
        <f t="shared" si="5"/>
        <v>12046A</v>
      </c>
    </row>
    <row r="872" spans="1:7" x14ac:dyDescent="0.25">
      <c r="A872">
        <f>IF(AND(Sheet2!B872=Sheet1!B$19,Sheet2!C872=Sheet1!C$19,Sheet2!D872=Sheet1!D$19),1,0)</f>
        <v>0</v>
      </c>
      <c r="B872" s="10" t="s">
        <v>158</v>
      </c>
      <c r="C872" s="11">
        <v>0.375</v>
      </c>
      <c r="D872" s="22">
        <v>8</v>
      </c>
      <c r="E872" s="22">
        <v>12047</v>
      </c>
      <c r="F872" s="10" t="s">
        <v>74</v>
      </c>
      <c r="G872" s="10" t="str">
        <f t="shared" si="5"/>
        <v>12047A</v>
      </c>
    </row>
    <row r="873" spans="1:7" x14ac:dyDescent="0.25">
      <c r="A873">
        <f>IF(AND(Sheet2!B873=Sheet1!B$19,Sheet2!C873=Sheet1!C$19,Sheet2!D873=Sheet1!D$19),1,0)</f>
        <v>0</v>
      </c>
      <c r="B873" s="10" t="s">
        <v>158</v>
      </c>
      <c r="C873" s="11">
        <v>0.375</v>
      </c>
      <c r="D873" s="22">
        <v>9</v>
      </c>
      <c r="E873" s="22">
        <v>12048</v>
      </c>
      <c r="F873" s="10" t="s">
        <v>74</v>
      </c>
      <c r="G873" s="10" t="str">
        <f t="shared" si="5"/>
        <v>12048A</v>
      </c>
    </row>
    <row r="874" spans="1:7" x14ac:dyDescent="0.25">
      <c r="A874">
        <f>IF(AND(Sheet2!B874=Sheet1!B$19,Sheet2!C874=Sheet1!C$19,Sheet2!D874=Sheet1!D$19),1,0)</f>
        <v>0</v>
      </c>
      <c r="B874" s="10" t="s">
        <v>158</v>
      </c>
      <c r="C874" s="11">
        <v>0.375</v>
      </c>
      <c r="D874" s="22">
        <v>10</v>
      </c>
      <c r="E874" s="22">
        <v>12049</v>
      </c>
      <c r="F874" s="10" t="s">
        <v>74</v>
      </c>
      <c r="G874" s="10" t="str">
        <f t="shared" si="5"/>
        <v>12049A</v>
      </c>
    </row>
    <row r="875" spans="1:7" x14ac:dyDescent="0.25">
      <c r="A875">
        <f>IF(AND(Sheet2!B875=Sheet1!B$19,Sheet2!C875=Sheet1!C$19,Sheet2!D875=Sheet1!D$19),1,0)</f>
        <v>0</v>
      </c>
      <c r="B875" s="10" t="s">
        <v>158</v>
      </c>
      <c r="C875" s="11">
        <v>0.375</v>
      </c>
      <c r="D875" s="22">
        <v>11</v>
      </c>
      <c r="E875" s="22">
        <v>12050</v>
      </c>
      <c r="F875" s="10" t="s">
        <v>74</v>
      </c>
      <c r="G875" s="10" t="str">
        <f t="shared" si="5"/>
        <v>12050A</v>
      </c>
    </row>
    <row r="876" spans="1:7" x14ac:dyDescent="0.25">
      <c r="A876">
        <f>IF(AND(Sheet2!B876=Sheet1!B$19,Sheet2!C876=Sheet1!C$19,Sheet2!D876=Sheet1!D$19),1,0)</f>
        <v>0</v>
      </c>
      <c r="B876" s="10" t="s">
        <v>158</v>
      </c>
      <c r="C876" s="11">
        <v>0.375</v>
      </c>
      <c r="D876" s="22">
        <v>12</v>
      </c>
      <c r="E876" s="22">
        <v>12051</v>
      </c>
      <c r="F876" s="10" t="s">
        <v>74</v>
      </c>
      <c r="G876" s="10" t="str">
        <f t="shared" si="5"/>
        <v>12051A</v>
      </c>
    </row>
    <row r="877" spans="1:7" x14ac:dyDescent="0.25">
      <c r="A877">
        <f>IF(AND(Sheet2!B877=Sheet1!B$19,Sheet2!C877=Sheet1!C$19,Sheet2!D877=Sheet1!D$19),1,0)</f>
        <v>0</v>
      </c>
      <c r="B877" s="10" t="s">
        <v>158</v>
      </c>
      <c r="C877" s="11">
        <v>0.375</v>
      </c>
      <c r="D877" s="22">
        <v>13</v>
      </c>
      <c r="E877" s="22">
        <v>12052</v>
      </c>
      <c r="F877" s="10" t="s">
        <v>74</v>
      </c>
      <c r="G877" s="10" t="str">
        <f t="shared" si="5"/>
        <v>12052A</v>
      </c>
    </row>
    <row r="878" spans="1:7" x14ac:dyDescent="0.25">
      <c r="A878">
        <f>IF(AND(Sheet2!B878=Sheet1!B$19,Sheet2!C878=Sheet1!C$19,Sheet2!D878=Sheet1!D$19),1,0)</f>
        <v>0</v>
      </c>
      <c r="B878" s="10" t="s">
        <v>158</v>
      </c>
      <c r="C878" s="11">
        <v>0.375</v>
      </c>
      <c r="D878" s="22">
        <v>14</v>
      </c>
      <c r="E878" s="22">
        <v>12053</v>
      </c>
      <c r="F878" s="10" t="s">
        <v>74</v>
      </c>
      <c r="G878" s="10" t="str">
        <f t="shared" si="5"/>
        <v>12053A</v>
      </c>
    </row>
    <row r="879" spans="1:7" x14ac:dyDescent="0.25">
      <c r="A879">
        <f>IF(AND(Sheet2!B879=Sheet1!B$19,Sheet2!C879=Sheet1!C$19,Sheet2!D879=Sheet1!D$19),1,0)</f>
        <v>0</v>
      </c>
      <c r="B879" s="10" t="s">
        <v>158</v>
      </c>
      <c r="C879" s="11">
        <v>0.375</v>
      </c>
      <c r="D879" s="22">
        <v>15</v>
      </c>
      <c r="E879" s="22">
        <v>12054</v>
      </c>
      <c r="F879" s="10" t="s">
        <v>74</v>
      </c>
      <c r="G879" s="10" t="str">
        <f t="shared" si="5"/>
        <v>12054A</v>
      </c>
    </row>
    <row r="880" spans="1:7" x14ac:dyDescent="0.25">
      <c r="A880">
        <f>IF(AND(Sheet2!B880=Sheet1!B$19,Sheet2!C880=Sheet1!C$19,Sheet2!D880=Sheet1!D$19),1,0)</f>
        <v>0</v>
      </c>
      <c r="B880" s="10" t="s">
        <v>158</v>
      </c>
      <c r="C880" s="11">
        <v>0.375</v>
      </c>
      <c r="D880" s="22">
        <v>16</v>
      </c>
      <c r="E880" s="22">
        <v>12055</v>
      </c>
      <c r="F880" s="10" t="s">
        <v>74</v>
      </c>
      <c r="G880" s="10" t="str">
        <f t="shared" si="5"/>
        <v>12055A</v>
      </c>
    </row>
    <row r="881" spans="1:7" x14ac:dyDescent="0.25">
      <c r="A881">
        <f>IF(AND(Sheet2!B881=Sheet1!B$19,Sheet2!C881=Sheet1!C$19,Sheet2!D881=Sheet1!D$19),1,0)</f>
        <v>0</v>
      </c>
      <c r="B881" s="10" t="s">
        <v>158</v>
      </c>
      <c r="C881" s="11">
        <v>0.375</v>
      </c>
      <c r="D881" s="22">
        <v>17</v>
      </c>
      <c r="E881" s="22">
        <v>12056</v>
      </c>
      <c r="F881" s="10" t="s">
        <v>74</v>
      </c>
      <c r="G881" s="10" t="str">
        <f t="shared" si="5"/>
        <v>12056A</v>
      </c>
    </row>
    <row r="882" spans="1:7" x14ac:dyDescent="0.25">
      <c r="A882">
        <f>IF(AND(Sheet2!B882=Sheet1!B$19,Sheet2!C882=Sheet1!C$19,Sheet2!D882=Sheet1!D$19),1,0)</f>
        <v>0</v>
      </c>
      <c r="B882" s="10" t="s">
        <v>158</v>
      </c>
      <c r="C882" s="11">
        <v>0.375</v>
      </c>
      <c r="D882" s="22">
        <v>18</v>
      </c>
      <c r="E882" s="22">
        <v>12057</v>
      </c>
      <c r="F882" s="10" t="s">
        <v>74</v>
      </c>
      <c r="G882" s="10" t="str">
        <f t="shared" si="5"/>
        <v>12057A</v>
      </c>
    </row>
    <row r="883" spans="1:7" x14ac:dyDescent="0.25">
      <c r="A883">
        <f>IF(AND(Sheet2!B883=Sheet1!B$19,Sheet2!C883=Sheet1!C$19,Sheet2!D883=Sheet1!D$19),1,0)</f>
        <v>0</v>
      </c>
      <c r="B883" s="10" t="s">
        <v>158</v>
      </c>
      <c r="C883" s="11">
        <v>0.375</v>
      </c>
      <c r="D883" s="22">
        <v>19</v>
      </c>
      <c r="E883" s="22">
        <v>12058</v>
      </c>
      <c r="F883" s="10" t="s">
        <v>74</v>
      </c>
      <c r="G883" s="10" t="str">
        <f t="shared" si="5"/>
        <v>12058A</v>
      </c>
    </row>
    <row r="884" spans="1:7" x14ac:dyDescent="0.25">
      <c r="A884">
        <f>IF(AND(Sheet2!B884=Sheet1!B$19,Sheet2!C884=Sheet1!C$19,Sheet2!D884=Sheet1!D$19),1,0)</f>
        <v>0</v>
      </c>
      <c r="B884" s="10" t="s">
        <v>158</v>
      </c>
      <c r="C884" s="11">
        <v>0.375</v>
      </c>
      <c r="D884" s="22">
        <v>20</v>
      </c>
      <c r="E884" s="22">
        <v>12059</v>
      </c>
      <c r="F884" s="10" t="s">
        <v>74</v>
      </c>
      <c r="G884" s="10" t="str">
        <f t="shared" si="5"/>
        <v>12059A</v>
      </c>
    </row>
    <row r="885" spans="1:7" x14ac:dyDescent="0.25">
      <c r="A885">
        <f>IF(AND(Sheet2!B885=Sheet1!B$19,Sheet2!C885=Sheet1!C$19,Sheet2!D885=Sheet1!D$19),1,0)</f>
        <v>0</v>
      </c>
      <c r="B885" s="10" t="s">
        <v>158</v>
      </c>
      <c r="C885" s="11">
        <v>0.375</v>
      </c>
      <c r="D885" s="22">
        <v>21</v>
      </c>
      <c r="E885" s="22">
        <v>12060</v>
      </c>
      <c r="F885" s="10" t="s">
        <v>74</v>
      </c>
      <c r="G885" s="10" t="str">
        <f t="shared" si="5"/>
        <v>12060A</v>
      </c>
    </row>
    <row r="886" spans="1:7" x14ac:dyDescent="0.25">
      <c r="A886">
        <f>IF(AND(Sheet2!B886=Sheet1!B$19,Sheet2!C886=Sheet1!C$19,Sheet2!D886=Sheet1!D$19),1,0)</f>
        <v>0</v>
      </c>
      <c r="B886" s="10" t="s">
        <v>158</v>
      </c>
      <c r="C886" s="11">
        <v>0.375</v>
      </c>
      <c r="D886" s="22">
        <v>22</v>
      </c>
      <c r="E886" s="22">
        <v>12061</v>
      </c>
      <c r="F886" s="10" t="s">
        <v>74</v>
      </c>
      <c r="G886" s="10" t="str">
        <f t="shared" si="5"/>
        <v>12061A</v>
      </c>
    </row>
    <row r="887" spans="1:7" x14ac:dyDescent="0.25">
      <c r="A887">
        <f>IF(AND(Sheet2!B887=Sheet1!B$19,Sheet2!C887=Sheet1!C$19,Sheet2!D887=Sheet1!D$19),1,0)</f>
        <v>0</v>
      </c>
      <c r="B887" s="10" t="s">
        <v>158</v>
      </c>
      <c r="C887" s="11">
        <v>0.375</v>
      </c>
      <c r="D887" s="22">
        <v>23</v>
      </c>
      <c r="E887" s="22">
        <v>12062</v>
      </c>
      <c r="F887" s="10" t="s">
        <v>74</v>
      </c>
      <c r="G887" s="10" t="str">
        <f t="shared" si="5"/>
        <v>12062A</v>
      </c>
    </row>
    <row r="888" spans="1:7" x14ac:dyDescent="0.25">
      <c r="A888">
        <f>IF(AND(Sheet2!B888=Sheet1!B$19,Sheet2!C888=Sheet1!C$19,Sheet2!D888=Sheet1!D$19),1,0)</f>
        <v>0</v>
      </c>
      <c r="B888" s="10" t="s">
        <v>158</v>
      </c>
      <c r="C888" s="11">
        <v>0.375</v>
      </c>
      <c r="D888" s="22">
        <v>24</v>
      </c>
      <c r="E888" s="22">
        <v>12063</v>
      </c>
      <c r="F888" s="10" t="s">
        <v>74</v>
      </c>
      <c r="G888" s="10" t="str">
        <f t="shared" si="5"/>
        <v>12063A</v>
      </c>
    </row>
    <row r="889" spans="1:7" x14ac:dyDescent="0.25">
      <c r="A889">
        <f>IF(AND(Sheet2!B889=Sheet1!B$19,Sheet2!C889=Sheet1!C$19,Sheet2!D889=Sheet1!D$19),1,0)</f>
        <v>0</v>
      </c>
      <c r="B889" s="10" t="s">
        <v>158</v>
      </c>
      <c r="C889" s="11">
        <v>0.375</v>
      </c>
      <c r="D889" s="22">
        <v>25</v>
      </c>
      <c r="E889" s="22">
        <v>12064</v>
      </c>
      <c r="F889" s="10" t="s">
        <v>74</v>
      </c>
      <c r="G889" s="10" t="str">
        <f t="shared" si="5"/>
        <v>12064A</v>
      </c>
    </row>
    <row r="890" spans="1:7" x14ac:dyDescent="0.25">
      <c r="A890">
        <f>IF(AND(Sheet2!B890=Sheet1!B$19,Sheet2!C890=Sheet1!C$19,Sheet2!D890=Sheet1!D$19),1,0)</f>
        <v>0</v>
      </c>
      <c r="B890" s="10" t="s">
        <v>158</v>
      </c>
      <c r="C890" s="11">
        <v>0.375</v>
      </c>
      <c r="D890" s="22">
        <v>26</v>
      </c>
      <c r="E890" s="22">
        <v>12065</v>
      </c>
      <c r="F890" s="10" t="s">
        <v>74</v>
      </c>
      <c r="G890" s="10" t="str">
        <f t="shared" si="5"/>
        <v>12065A</v>
      </c>
    </row>
    <row r="891" spans="1:7" x14ac:dyDescent="0.25">
      <c r="A891">
        <f>IF(AND(Sheet2!B891=Sheet1!B$19,Sheet2!C891=Sheet1!C$19,Sheet2!D891=Sheet1!D$19),1,0)</f>
        <v>0</v>
      </c>
      <c r="B891" s="10" t="s">
        <v>158</v>
      </c>
      <c r="C891" s="11">
        <v>0.375</v>
      </c>
      <c r="D891" s="22">
        <v>27</v>
      </c>
      <c r="E891" s="22">
        <v>12066</v>
      </c>
      <c r="F891" s="10" t="s">
        <v>74</v>
      </c>
      <c r="G891" s="10" t="str">
        <f t="shared" si="5"/>
        <v>12066A</v>
      </c>
    </row>
    <row r="892" spans="1:7" x14ac:dyDescent="0.25">
      <c r="A892">
        <f>IF(AND(Sheet2!B892=Sheet1!B$19,Sheet2!C892=Sheet1!C$19,Sheet2!D892=Sheet1!D$19),1,0)</f>
        <v>0</v>
      </c>
      <c r="B892" s="10" t="s">
        <v>158</v>
      </c>
      <c r="C892" s="11">
        <v>0.375</v>
      </c>
      <c r="D892" s="22">
        <v>28</v>
      </c>
      <c r="E892" s="22">
        <v>12067</v>
      </c>
      <c r="F892" s="10" t="s">
        <v>74</v>
      </c>
      <c r="G892" s="10" t="str">
        <f t="shared" si="5"/>
        <v>12067A</v>
      </c>
    </row>
    <row r="893" spans="1:7" x14ac:dyDescent="0.25">
      <c r="A893">
        <f>IF(AND(Sheet2!B893=Sheet1!B$19,Sheet2!C893=Sheet1!C$19,Sheet2!D893=Sheet1!D$19),1,0)</f>
        <v>0</v>
      </c>
      <c r="B893" s="10" t="s">
        <v>158</v>
      </c>
      <c r="C893" s="11">
        <v>0.375</v>
      </c>
      <c r="D893" s="22">
        <v>29</v>
      </c>
      <c r="E893" s="22">
        <v>12068</v>
      </c>
      <c r="F893" s="10" t="s">
        <v>74</v>
      </c>
      <c r="G893" s="10" t="str">
        <f t="shared" si="5"/>
        <v>12068A</v>
      </c>
    </row>
    <row r="894" spans="1:7" x14ac:dyDescent="0.25">
      <c r="A894">
        <f>IF(AND(Sheet2!B894=Sheet1!B$19,Sheet2!C894=Sheet1!C$19,Sheet2!D894=Sheet1!D$19),1,0)</f>
        <v>0</v>
      </c>
      <c r="B894" s="10" t="s">
        <v>158</v>
      </c>
      <c r="C894" s="11">
        <v>0.375</v>
      </c>
      <c r="D894" s="22">
        <v>30</v>
      </c>
      <c r="E894" s="22">
        <v>12069</v>
      </c>
      <c r="F894" s="10" t="s">
        <v>74</v>
      </c>
      <c r="G894" s="10" t="str">
        <f t="shared" si="5"/>
        <v>12069A</v>
      </c>
    </row>
    <row r="895" spans="1:7" x14ac:dyDescent="0.25">
      <c r="A895">
        <f>IF(AND(Sheet2!B895=Sheet1!B$19,Sheet2!C895=Sheet1!C$19,Sheet2!D895=Sheet1!D$19),1,0)</f>
        <v>0</v>
      </c>
      <c r="B895" s="10" t="s">
        <v>158</v>
      </c>
      <c r="C895" s="11">
        <v>0.375</v>
      </c>
      <c r="D895" s="22">
        <v>31</v>
      </c>
      <c r="E895" s="22">
        <v>12070</v>
      </c>
      <c r="F895" s="10" t="s">
        <v>74</v>
      </c>
      <c r="G895" s="10" t="str">
        <f t="shared" si="5"/>
        <v>12070A</v>
      </c>
    </row>
    <row r="896" spans="1:7" x14ac:dyDescent="0.25">
      <c r="A896">
        <f>IF(AND(Sheet2!B896=Sheet1!B$19,Sheet2!C896=Sheet1!C$19,Sheet2!D896=Sheet1!D$19),1,0)</f>
        <v>0</v>
      </c>
      <c r="B896" s="10" t="s">
        <v>158</v>
      </c>
      <c r="C896" s="11">
        <v>0.375</v>
      </c>
      <c r="D896" s="22">
        <v>32</v>
      </c>
      <c r="E896" s="22">
        <v>12071</v>
      </c>
      <c r="F896" s="10" t="s">
        <v>74</v>
      </c>
      <c r="G896" s="10" t="str">
        <f t="shared" si="5"/>
        <v>12071A</v>
      </c>
    </row>
    <row r="897" spans="1:7" x14ac:dyDescent="0.25">
      <c r="A897">
        <f>IF(AND(Sheet2!B897=Sheet1!B$19,Sheet2!C897=Sheet1!C$19,Sheet2!D897=Sheet1!D$19),1,0)</f>
        <v>0</v>
      </c>
      <c r="B897" s="10" t="s">
        <v>158</v>
      </c>
      <c r="C897" s="11">
        <v>0.375</v>
      </c>
      <c r="D897" s="22">
        <v>33</v>
      </c>
      <c r="E897" s="22">
        <v>12072</v>
      </c>
      <c r="F897" s="10" t="s">
        <v>74</v>
      </c>
      <c r="G897" s="10" t="str">
        <f t="shared" si="5"/>
        <v>12072A</v>
      </c>
    </row>
    <row r="898" spans="1:7" x14ac:dyDescent="0.25">
      <c r="A898">
        <f>IF(AND(Sheet2!B898=Sheet1!B$19,Sheet2!C898=Sheet1!C$19,Sheet2!D898=Sheet1!D$19),1,0)</f>
        <v>0</v>
      </c>
      <c r="B898" s="10" t="s">
        <v>158</v>
      </c>
      <c r="C898" s="11">
        <v>0.375</v>
      </c>
      <c r="D898" s="22">
        <v>34</v>
      </c>
      <c r="E898" s="22">
        <v>12073</v>
      </c>
      <c r="F898" s="10" t="s">
        <v>74</v>
      </c>
      <c r="G898" s="10" t="str">
        <f t="shared" ref="G898:G961" si="6">CONCATENATE(E898,F898)</f>
        <v>12073A</v>
      </c>
    </row>
    <row r="899" spans="1:7" x14ac:dyDescent="0.25">
      <c r="A899">
        <f>IF(AND(Sheet2!B899=Sheet1!B$19,Sheet2!C899=Sheet1!C$19,Sheet2!D899=Sheet1!D$19),1,0)</f>
        <v>0</v>
      </c>
      <c r="B899" s="10" t="s">
        <v>158</v>
      </c>
      <c r="C899" s="11">
        <v>0.375</v>
      </c>
      <c r="D899" s="22">
        <v>35</v>
      </c>
      <c r="E899" s="22">
        <v>12074</v>
      </c>
      <c r="F899" s="10" t="s">
        <v>74</v>
      </c>
      <c r="G899" s="10" t="str">
        <f t="shared" si="6"/>
        <v>12074A</v>
      </c>
    </row>
    <row r="900" spans="1:7" x14ac:dyDescent="0.25">
      <c r="A900">
        <f>IF(AND(Sheet2!B900=Sheet1!B$19,Sheet2!C900=Sheet1!C$19,Sheet2!D900=Sheet1!D$19),1,0)</f>
        <v>0</v>
      </c>
      <c r="B900" s="10" t="s">
        <v>158</v>
      </c>
      <c r="C900" s="11">
        <v>0.375</v>
      </c>
      <c r="D900" s="22">
        <v>36</v>
      </c>
      <c r="E900" s="22">
        <v>12075</v>
      </c>
      <c r="F900" s="10" t="s">
        <v>74</v>
      </c>
      <c r="G900" s="10" t="str">
        <f t="shared" si="6"/>
        <v>12075A</v>
      </c>
    </row>
    <row r="901" spans="1:7" x14ac:dyDescent="0.25">
      <c r="A901">
        <f>IF(AND(Sheet2!B901=Sheet1!B$19,Sheet2!C901=Sheet1!C$19,Sheet2!D901=Sheet1!D$19),1,0)</f>
        <v>0</v>
      </c>
      <c r="B901" s="10" t="s">
        <v>158</v>
      </c>
      <c r="C901" s="11">
        <v>0.375</v>
      </c>
      <c r="D901" s="22">
        <v>37</v>
      </c>
      <c r="E901" s="22">
        <v>12076</v>
      </c>
      <c r="F901" s="10" t="s">
        <v>74</v>
      </c>
      <c r="G901" s="10" t="str">
        <f t="shared" si="6"/>
        <v>12076A</v>
      </c>
    </row>
    <row r="902" spans="1:7" x14ac:dyDescent="0.25">
      <c r="A902">
        <f>IF(AND(Sheet2!B902=Sheet1!B$19,Sheet2!C902=Sheet1!C$19,Sheet2!D902=Sheet1!D$19),1,0)</f>
        <v>0</v>
      </c>
      <c r="B902" s="10" t="s">
        <v>158</v>
      </c>
      <c r="C902" s="11">
        <v>0.375</v>
      </c>
      <c r="D902" s="22">
        <v>38</v>
      </c>
      <c r="E902" s="22">
        <v>12077</v>
      </c>
      <c r="F902" s="10" t="s">
        <v>74</v>
      </c>
      <c r="G902" s="10" t="str">
        <f t="shared" si="6"/>
        <v>12077A</v>
      </c>
    </row>
    <row r="903" spans="1:7" x14ac:dyDescent="0.25">
      <c r="A903">
        <f>IF(AND(Sheet2!B903=Sheet1!B$19,Sheet2!C903=Sheet1!C$19,Sheet2!D903=Sheet1!D$19),1,0)</f>
        <v>0</v>
      </c>
      <c r="B903" s="10" t="s">
        <v>158</v>
      </c>
      <c r="C903" s="11">
        <v>0.375</v>
      </c>
      <c r="D903" s="22">
        <v>39</v>
      </c>
      <c r="E903" s="22">
        <v>12078</v>
      </c>
      <c r="F903" s="10" t="s">
        <v>74</v>
      </c>
      <c r="G903" s="10" t="str">
        <f t="shared" si="6"/>
        <v>12078A</v>
      </c>
    </row>
    <row r="904" spans="1:7" x14ac:dyDescent="0.25">
      <c r="A904">
        <f>IF(AND(Sheet2!B904=Sheet1!B$19,Sheet2!C904=Sheet1!C$19,Sheet2!D904=Sheet1!D$19),1,0)</f>
        <v>0</v>
      </c>
      <c r="B904" s="10" t="s">
        <v>158</v>
      </c>
      <c r="C904" s="11">
        <v>0.375</v>
      </c>
      <c r="D904" s="22">
        <v>40</v>
      </c>
      <c r="E904" s="22">
        <v>12079</v>
      </c>
      <c r="F904" s="10" t="s">
        <v>74</v>
      </c>
      <c r="G904" s="10" t="str">
        <f t="shared" si="6"/>
        <v>12079A</v>
      </c>
    </row>
    <row r="905" spans="1:7" x14ac:dyDescent="0.25">
      <c r="A905">
        <f>IF(AND(Sheet2!B905=Sheet1!B$19,Sheet2!C905=Sheet1!C$19,Sheet2!D905=Sheet1!D$19),1,0)</f>
        <v>0</v>
      </c>
      <c r="B905" s="10" t="s">
        <v>158</v>
      </c>
      <c r="C905" s="11">
        <v>0.375</v>
      </c>
      <c r="D905" s="22">
        <v>41</v>
      </c>
      <c r="E905" s="22">
        <v>12080</v>
      </c>
      <c r="F905" s="10" t="s">
        <v>74</v>
      </c>
      <c r="G905" s="10" t="str">
        <f t="shared" si="6"/>
        <v>12080A</v>
      </c>
    </row>
    <row r="906" spans="1:7" x14ac:dyDescent="0.25">
      <c r="A906">
        <f>IF(AND(Sheet2!B906=Sheet1!B$19,Sheet2!C906=Sheet1!C$19,Sheet2!D906=Sheet1!D$19),1,0)</f>
        <v>0</v>
      </c>
      <c r="B906" s="10" t="s">
        <v>158</v>
      </c>
      <c r="C906" s="11">
        <v>0.375</v>
      </c>
      <c r="D906" s="22">
        <v>42</v>
      </c>
      <c r="E906" s="22">
        <v>12081</v>
      </c>
      <c r="F906" s="10" t="s">
        <v>74</v>
      </c>
      <c r="G906" s="10" t="str">
        <f t="shared" si="6"/>
        <v>12081A</v>
      </c>
    </row>
    <row r="907" spans="1:7" x14ac:dyDescent="0.25">
      <c r="A907">
        <f>IF(AND(Sheet2!B907=Sheet1!B$19,Sheet2!C907=Sheet1!C$19,Sheet2!D907=Sheet1!D$19),1,0)</f>
        <v>0</v>
      </c>
      <c r="B907" s="10" t="s">
        <v>158</v>
      </c>
      <c r="C907" s="11">
        <v>0.375</v>
      </c>
      <c r="D907" s="22">
        <v>43</v>
      </c>
      <c r="E907" s="22">
        <v>12082</v>
      </c>
      <c r="F907" s="10" t="s">
        <v>74</v>
      </c>
      <c r="G907" s="10" t="str">
        <f t="shared" si="6"/>
        <v>12082A</v>
      </c>
    </row>
    <row r="908" spans="1:7" x14ac:dyDescent="0.25">
      <c r="A908">
        <f>IF(AND(Sheet2!B908=Sheet1!B$19,Sheet2!C908=Sheet1!C$19,Sheet2!D908=Sheet1!D$19),1,0)</f>
        <v>0</v>
      </c>
      <c r="B908" s="10" t="s">
        <v>158</v>
      </c>
      <c r="C908" s="11">
        <v>0.375</v>
      </c>
      <c r="D908" s="22">
        <v>44</v>
      </c>
      <c r="E908" s="22">
        <v>12083</v>
      </c>
      <c r="F908" s="10" t="s">
        <v>74</v>
      </c>
      <c r="G908" s="10" t="str">
        <f t="shared" si="6"/>
        <v>12083A</v>
      </c>
    </row>
    <row r="909" spans="1:7" x14ac:dyDescent="0.25">
      <c r="A909">
        <f>IF(AND(Sheet2!B909=Sheet1!B$19,Sheet2!C909=Sheet1!C$19,Sheet2!D909=Sheet1!D$19),1,0)</f>
        <v>0</v>
      </c>
      <c r="B909" s="10" t="s">
        <v>158</v>
      </c>
      <c r="C909" s="11">
        <v>0.375</v>
      </c>
      <c r="D909" s="22">
        <v>45</v>
      </c>
      <c r="E909" s="22">
        <v>12084</v>
      </c>
      <c r="F909" s="10" t="s">
        <v>74</v>
      </c>
      <c r="G909" s="10" t="str">
        <f t="shared" si="6"/>
        <v>12084A</v>
      </c>
    </row>
    <row r="910" spans="1:7" x14ac:dyDescent="0.25">
      <c r="A910">
        <f>IF(AND(Sheet2!B910=Sheet1!B$19,Sheet2!C910=Sheet1!C$19,Sheet2!D910=Sheet1!D$19),1,0)</f>
        <v>0</v>
      </c>
      <c r="B910" s="10" t="s">
        <v>158</v>
      </c>
      <c r="C910" s="11">
        <v>0.375</v>
      </c>
      <c r="D910" s="22">
        <v>46</v>
      </c>
      <c r="E910" s="22">
        <v>12085</v>
      </c>
      <c r="F910" s="10" t="s">
        <v>74</v>
      </c>
      <c r="G910" s="10" t="str">
        <f t="shared" si="6"/>
        <v>12085A</v>
      </c>
    </row>
    <row r="911" spans="1:7" x14ac:dyDescent="0.25">
      <c r="A911">
        <f>IF(AND(Sheet2!B911=Sheet1!B$19,Sheet2!C911=Sheet1!C$19,Sheet2!D911=Sheet1!D$19),1,0)</f>
        <v>0</v>
      </c>
      <c r="B911" s="10" t="s">
        <v>158</v>
      </c>
      <c r="C911" s="11">
        <v>0.375</v>
      </c>
      <c r="D911" s="22">
        <v>47</v>
      </c>
      <c r="E911" s="22">
        <v>12086</v>
      </c>
      <c r="F911" s="10" t="s">
        <v>74</v>
      </c>
      <c r="G911" s="10" t="str">
        <f t="shared" si="6"/>
        <v>12086A</v>
      </c>
    </row>
    <row r="912" spans="1:7" x14ac:dyDescent="0.25">
      <c r="A912">
        <f>IF(AND(Sheet2!B912=Sheet1!B$19,Sheet2!C912=Sheet1!C$19,Sheet2!D912=Sheet1!D$19),1,0)</f>
        <v>0</v>
      </c>
      <c r="B912" s="10" t="s">
        <v>158</v>
      </c>
      <c r="C912" s="11">
        <v>0.375</v>
      </c>
      <c r="D912" s="22">
        <v>48</v>
      </c>
      <c r="E912" s="22">
        <v>12087</v>
      </c>
      <c r="F912" s="10" t="s">
        <v>74</v>
      </c>
      <c r="G912" s="10" t="str">
        <f t="shared" si="6"/>
        <v>12087A</v>
      </c>
    </row>
    <row r="913" spans="1:7" x14ac:dyDescent="0.25">
      <c r="A913">
        <f>IF(AND(Sheet2!B913=Sheet1!B$19,Sheet2!C913=Sheet1!C$19,Sheet2!D913=Sheet1!D$19),1,0)</f>
        <v>0</v>
      </c>
      <c r="B913" s="10" t="s">
        <v>158</v>
      </c>
      <c r="C913" s="11">
        <v>0.375</v>
      </c>
      <c r="D913" s="22">
        <v>49</v>
      </c>
      <c r="E913" s="22">
        <v>12088</v>
      </c>
      <c r="F913" s="10" t="s">
        <v>74</v>
      </c>
      <c r="G913" s="10" t="str">
        <f t="shared" si="6"/>
        <v>12088A</v>
      </c>
    </row>
    <row r="914" spans="1:7" x14ac:dyDescent="0.25">
      <c r="A914">
        <f>IF(AND(Sheet2!B914=Sheet1!B$19,Sheet2!C914=Sheet1!C$19,Sheet2!D914=Sheet1!D$19),1,0)</f>
        <v>0</v>
      </c>
      <c r="B914" s="10" t="s">
        <v>158</v>
      </c>
      <c r="C914" s="11">
        <v>0.375</v>
      </c>
      <c r="D914" s="22">
        <v>50</v>
      </c>
      <c r="E914" s="22">
        <v>12089</v>
      </c>
      <c r="F914" s="10" t="s">
        <v>74</v>
      </c>
      <c r="G914" s="10" t="str">
        <f t="shared" si="6"/>
        <v>12089A</v>
      </c>
    </row>
    <row r="915" spans="1:7" x14ac:dyDescent="0.25">
      <c r="A915">
        <f>IF(AND(Sheet2!B915=Sheet1!B$19,Sheet2!C915=Sheet1!C$19,Sheet2!D915=Sheet1!D$19),1,0)</f>
        <v>0</v>
      </c>
      <c r="B915" s="10" t="s">
        <v>158</v>
      </c>
      <c r="C915" s="11">
        <v>0.375</v>
      </c>
      <c r="D915" s="22">
        <v>51</v>
      </c>
      <c r="E915" s="22">
        <v>12090</v>
      </c>
      <c r="F915" s="10" t="s">
        <v>74</v>
      </c>
      <c r="G915" s="10" t="str">
        <f t="shared" si="6"/>
        <v>12090A</v>
      </c>
    </row>
    <row r="916" spans="1:7" x14ac:dyDescent="0.25">
      <c r="A916">
        <f>IF(AND(Sheet2!B916=Sheet1!B$19,Sheet2!C916=Sheet1!C$19,Sheet2!D916=Sheet1!D$19),1,0)</f>
        <v>0</v>
      </c>
      <c r="B916" s="10" t="s">
        <v>158</v>
      </c>
      <c r="C916" s="11">
        <v>0.375</v>
      </c>
      <c r="D916" s="22">
        <v>52</v>
      </c>
      <c r="E916" s="22">
        <v>12091</v>
      </c>
      <c r="F916" s="10" t="s">
        <v>74</v>
      </c>
      <c r="G916" s="10" t="str">
        <f t="shared" si="6"/>
        <v>12091A</v>
      </c>
    </row>
    <row r="917" spans="1:7" x14ac:dyDescent="0.25">
      <c r="A917">
        <f>IF(AND(Sheet2!B917=Sheet1!B$19,Sheet2!C917=Sheet1!C$19,Sheet2!D917=Sheet1!D$19),1,0)</f>
        <v>0</v>
      </c>
      <c r="B917" s="10" t="s">
        <v>158</v>
      </c>
      <c r="C917" s="11">
        <v>0.375</v>
      </c>
      <c r="D917" s="22">
        <v>53</v>
      </c>
      <c r="E917" s="22">
        <v>12092</v>
      </c>
      <c r="F917" s="10" t="s">
        <v>74</v>
      </c>
      <c r="G917" s="10" t="str">
        <f t="shared" si="6"/>
        <v>12092A</v>
      </c>
    </row>
    <row r="918" spans="1:7" x14ac:dyDescent="0.25">
      <c r="A918">
        <f>IF(AND(Sheet2!B918=Sheet1!B$19,Sheet2!C918=Sheet1!C$19,Sheet2!D918=Sheet1!D$19),1,0)</f>
        <v>0</v>
      </c>
      <c r="B918" s="10" t="s">
        <v>158</v>
      </c>
      <c r="C918" s="11">
        <v>0.375</v>
      </c>
      <c r="D918" s="22">
        <v>54</v>
      </c>
      <c r="E918" s="22">
        <v>12093</v>
      </c>
      <c r="F918" s="10" t="s">
        <v>74</v>
      </c>
      <c r="G918" s="10" t="str">
        <f t="shared" si="6"/>
        <v>12093A</v>
      </c>
    </row>
    <row r="919" spans="1:7" x14ac:dyDescent="0.25">
      <c r="A919">
        <f>IF(AND(Sheet2!B919=Sheet1!B$19,Sheet2!C919=Sheet1!C$19,Sheet2!D919=Sheet1!D$19),1,0)</f>
        <v>0</v>
      </c>
      <c r="B919" s="10" t="s">
        <v>158</v>
      </c>
      <c r="C919" s="11">
        <v>0.375</v>
      </c>
      <c r="D919" s="22">
        <v>55</v>
      </c>
      <c r="E919" s="22">
        <v>12094</v>
      </c>
      <c r="F919" s="10" t="s">
        <v>74</v>
      </c>
      <c r="G919" s="10" t="str">
        <f t="shared" si="6"/>
        <v>12094A</v>
      </c>
    </row>
    <row r="920" spans="1:7" x14ac:dyDescent="0.25">
      <c r="A920">
        <f>IF(AND(Sheet2!B920=Sheet1!B$19,Sheet2!C920=Sheet1!C$19,Sheet2!D920=Sheet1!D$19),1,0)</f>
        <v>0</v>
      </c>
      <c r="B920" s="10" t="s">
        <v>158</v>
      </c>
      <c r="C920" s="11">
        <v>0.375</v>
      </c>
      <c r="D920" s="22">
        <v>56</v>
      </c>
      <c r="E920" s="22">
        <v>12095</v>
      </c>
      <c r="F920" s="10" t="s">
        <v>74</v>
      </c>
      <c r="G920" s="10" t="str">
        <f t="shared" si="6"/>
        <v>12095A</v>
      </c>
    </row>
    <row r="921" spans="1:7" x14ac:dyDescent="0.25">
      <c r="A921">
        <f>IF(AND(Sheet2!B921=Sheet1!B$19,Sheet2!C921=Sheet1!C$19,Sheet2!D921=Sheet1!D$19),1,0)</f>
        <v>0</v>
      </c>
      <c r="B921" s="10" t="s">
        <v>158</v>
      </c>
      <c r="C921" s="11">
        <v>0.375</v>
      </c>
      <c r="D921" s="22">
        <v>57</v>
      </c>
      <c r="E921" s="22">
        <v>12096</v>
      </c>
      <c r="F921" s="10" t="s">
        <v>74</v>
      </c>
      <c r="G921" s="10" t="str">
        <f t="shared" si="6"/>
        <v>12096A</v>
      </c>
    </row>
    <row r="922" spans="1:7" x14ac:dyDescent="0.25">
      <c r="A922">
        <f>IF(AND(Sheet2!B922=Sheet1!B$19,Sheet2!C922=Sheet1!C$19,Sheet2!D922=Sheet1!D$19),1,0)</f>
        <v>0</v>
      </c>
      <c r="B922" s="10" t="s">
        <v>158</v>
      </c>
      <c r="C922" s="11">
        <v>0.375</v>
      </c>
      <c r="D922" s="22">
        <v>58</v>
      </c>
      <c r="E922" s="22">
        <v>12097</v>
      </c>
      <c r="F922" s="10" t="s">
        <v>74</v>
      </c>
      <c r="G922" s="10" t="str">
        <f t="shared" si="6"/>
        <v>12097A</v>
      </c>
    </row>
    <row r="923" spans="1:7" x14ac:dyDescent="0.25">
      <c r="A923">
        <f>IF(AND(Sheet2!B923=Sheet1!B$19,Sheet2!C923=Sheet1!C$19,Sheet2!D923=Sheet1!D$19),1,0)</f>
        <v>0</v>
      </c>
      <c r="B923" s="10" t="s">
        <v>158</v>
      </c>
      <c r="C923" s="11">
        <v>0.375</v>
      </c>
      <c r="D923" s="22">
        <v>59</v>
      </c>
      <c r="E923" s="22">
        <v>12098</v>
      </c>
      <c r="F923" s="10" t="s">
        <v>74</v>
      </c>
      <c r="G923" s="10" t="str">
        <f t="shared" si="6"/>
        <v>12098A</v>
      </c>
    </row>
    <row r="924" spans="1:7" x14ac:dyDescent="0.25">
      <c r="A924">
        <f>IF(AND(Sheet2!B924=Sheet1!B$19,Sheet2!C924=Sheet1!C$19,Sheet2!D924=Sheet1!D$19),1,0)</f>
        <v>0</v>
      </c>
      <c r="B924" s="10" t="s">
        <v>158</v>
      </c>
      <c r="C924" s="11">
        <v>0.375</v>
      </c>
      <c r="D924" s="22">
        <v>60</v>
      </c>
      <c r="E924" s="22">
        <v>12099</v>
      </c>
      <c r="F924" s="10" t="s">
        <v>74</v>
      </c>
      <c r="G924" s="10" t="str">
        <f t="shared" si="6"/>
        <v>12099A</v>
      </c>
    </row>
    <row r="925" spans="1:7" x14ac:dyDescent="0.25">
      <c r="A925">
        <f>IF(AND(Sheet2!B925=Sheet1!B$19,Sheet2!C925=Sheet1!C$19,Sheet2!D925=Sheet1!D$19),1,0)</f>
        <v>0</v>
      </c>
      <c r="B925" s="10" t="s">
        <v>158</v>
      </c>
      <c r="C925" s="11">
        <v>0.5</v>
      </c>
      <c r="D925" s="22">
        <v>2</v>
      </c>
      <c r="E925" s="22">
        <v>11211</v>
      </c>
      <c r="F925" s="10" t="s">
        <v>74</v>
      </c>
      <c r="G925" s="10" t="str">
        <f t="shared" si="6"/>
        <v>11211A</v>
      </c>
    </row>
    <row r="926" spans="1:7" x14ac:dyDescent="0.25">
      <c r="A926">
        <f>IF(AND(Sheet2!B926=Sheet1!B$19,Sheet2!C926=Sheet1!C$19,Sheet2!D926=Sheet1!D$19),1,0)</f>
        <v>0</v>
      </c>
      <c r="B926" s="10" t="s">
        <v>158</v>
      </c>
      <c r="C926" s="11">
        <v>0.5</v>
      </c>
      <c r="D926" s="22">
        <v>3</v>
      </c>
      <c r="E926" s="22">
        <v>11212</v>
      </c>
      <c r="F926" s="10" t="s">
        <v>74</v>
      </c>
      <c r="G926" s="10" t="str">
        <f t="shared" si="6"/>
        <v>11212A</v>
      </c>
    </row>
    <row r="927" spans="1:7" x14ac:dyDescent="0.25">
      <c r="A927">
        <f>IF(AND(Sheet2!B927=Sheet1!B$19,Sheet2!C927=Sheet1!C$19,Sheet2!D927=Sheet1!D$19),1,0)</f>
        <v>0</v>
      </c>
      <c r="B927" s="10" t="s">
        <v>158</v>
      </c>
      <c r="C927" s="11">
        <v>0.5</v>
      </c>
      <c r="D927" s="22">
        <v>4</v>
      </c>
      <c r="E927" s="22">
        <v>11213</v>
      </c>
      <c r="F927" s="10" t="s">
        <v>74</v>
      </c>
      <c r="G927" s="10" t="str">
        <f t="shared" si="6"/>
        <v>11213A</v>
      </c>
    </row>
    <row r="928" spans="1:7" x14ac:dyDescent="0.25">
      <c r="A928">
        <f>IF(AND(Sheet2!B928=Sheet1!B$19,Sheet2!C928=Sheet1!C$19,Sheet2!D928=Sheet1!D$19),1,0)</f>
        <v>0</v>
      </c>
      <c r="B928" s="10" t="s">
        <v>158</v>
      </c>
      <c r="C928" s="11">
        <v>0.5</v>
      </c>
      <c r="D928" s="22">
        <v>5</v>
      </c>
      <c r="E928" s="22">
        <v>11214</v>
      </c>
      <c r="F928" s="10" t="s">
        <v>74</v>
      </c>
      <c r="G928" s="10" t="str">
        <f t="shared" si="6"/>
        <v>11214A</v>
      </c>
    </row>
    <row r="929" spans="1:7" x14ac:dyDescent="0.25">
      <c r="A929">
        <f>IF(AND(Sheet2!B929=Sheet1!B$19,Sheet2!C929=Sheet1!C$19,Sheet2!D929=Sheet1!D$19),1,0)</f>
        <v>0</v>
      </c>
      <c r="B929" s="10" t="s">
        <v>158</v>
      </c>
      <c r="C929" s="11">
        <v>0.5</v>
      </c>
      <c r="D929" s="22">
        <v>6</v>
      </c>
      <c r="E929" s="22">
        <v>11215</v>
      </c>
      <c r="F929" s="10" t="s">
        <v>74</v>
      </c>
      <c r="G929" s="10" t="str">
        <f t="shared" si="6"/>
        <v>11215A</v>
      </c>
    </row>
    <row r="930" spans="1:7" x14ac:dyDescent="0.25">
      <c r="A930">
        <f>IF(AND(Sheet2!B930=Sheet1!B$19,Sheet2!C930=Sheet1!C$19,Sheet2!D930=Sheet1!D$19),1,0)</f>
        <v>0</v>
      </c>
      <c r="B930" s="10" t="s">
        <v>158</v>
      </c>
      <c r="C930" s="11">
        <v>0.5</v>
      </c>
      <c r="D930" s="22">
        <v>7</v>
      </c>
      <c r="E930" s="22">
        <v>11216</v>
      </c>
      <c r="F930" s="10" t="s">
        <v>74</v>
      </c>
      <c r="G930" s="10" t="str">
        <f t="shared" si="6"/>
        <v>11216A</v>
      </c>
    </row>
    <row r="931" spans="1:7" x14ac:dyDescent="0.25">
      <c r="A931">
        <f>IF(AND(Sheet2!B931=Sheet1!B$19,Sheet2!C931=Sheet1!C$19,Sheet2!D931=Sheet1!D$19),1,0)</f>
        <v>0</v>
      </c>
      <c r="B931" s="10" t="s">
        <v>158</v>
      </c>
      <c r="C931" s="11">
        <v>0.5</v>
      </c>
      <c r="D931" s="22">
        <v>8</v>
      </c>
      <c r="E931" s="22">
        <v>11217</v>
      </c>
      <c r="F931" s="10" t="s">
        <v>74</v>
      </c>
      <c r="G931" s="10" t="str">
        <f t="shared" si="6"/>
        <v>11217A</v>
      </c>
    </row>
    <row r="932" spans="1:7" x14ac:dyDescent="0.25">
      <c r="A932">
        <f>IF(AND(Sheet2!B932=Sheet1!B$19,Sheet2!C932=Sheet1!C$19,Sheet2!D932=Sheet1!D$19),1,0)</f>
        <v>0</v>
      </c>
      <c r="B932" s="10" t="s">
        <v>158</v>
      </c>
      <c r="C932" s="11">
        <v>0.5</v>
      </c>
      <c r="D932" s="22">
        <v>9</v>
      </c>
      <c r="E932" s="22">
        <v>11218</v>
      </c>
      <c r="F932" s="10" t="s">
        <v>74</v>
      </c>
      <c r="G932" s="10" t="str">
        <f t="shared" si="6"/>
        <v>11218A</v>
      </c>
    </row>
    <row r="933" spans="1:7" x14ac:dyDescent="0.25">
      <c r="A933">
        <f>IF(AND(Sheet2!B933=Sheet1!B$19,Sheet2!C933=Sheet1!C$19,Sheet2!D933=Sheet1!D$19),1,0)</f>
        <v>0</v>
      </c>
      <c r="B933" s="10" t="s">
        <v>158</v>
      </c>
      <c r="C933" s="11">
        <v>0.5</v>
      </c>
      <c r="D933" s="22">
        <v>10</v>
      </c>
      <c r="E933" s="22">
        <v>11219</v>
      </c>
      <c r="F933" s="10" t="s">
        <v>74</v>
      </c>
      <c r="G933" s="10" t="str">
        <f t="shared" si="6"/>
        <v>11219A</v>
      </c>
    </row>
    <row r="934" spans="1:7" x14ac:dyDescent="0.25">
      <c r="A934">
        <f>IF(AND(Sheet2!B934=Sheet1!B$19,Sheet2!C934=Sheet1!C$19,Sheet2!D934=Sheet1!D$19),1,0)</f>
        <v>0</v>
      </c>
      <c r="B934" s="10" t="s">
        <v>158</v>
      </c>
      <c r="C934" s="11">
        <v>0.5</v>
      </c>
      <c r="D934" s="22">
        <v>11</v>
      </c>
      <c r="E934" s="22">
        <v>11220</v>
      </c>
      <c r="F934" s="10" t="s">
        <v>74</v>
      </c>
      <c r="G934" s="10" t="str">
        <f t="shared" si="6"/>
        <v>11220A</v>
      </c>
    </row>
    <row r="935" spans="1:7" x14ac:dyDescent="0.25">
      <c r="A935">
        <f>IF(AND(Sheet2!B935=Sheet1!B$19,Sheet2!C935=Sheet1!C$19,Sheet2!D935=Sheet1!D$19),1,0)</f>
        <v>0</v>
      </c>
      <c r="B935" s="10" t="s">
        <v>158</v>
      </c>
      <c r="C935" s="11">
        <v>0.5</v>
      </c>
      <c r="D935" s="22">
        <v>12</v>
      </c>
      <c r="E935" s="22">
        <v>11221</v>
      </c>
      <c r="F935" s="10" t="s">
        <v>74</v>
      </c>
      <c r="G935" s="10" t="str">
        <f t="shared" si="6"/>
        <v>11221A</v>
      </c>
    </row>
    <row r="936" spans="1:7" x14ac:dyDescent="0.25">
      <c r="A936">
        <f>IF(AND(Sheet2!B936=Sheet1!B$19,Sheet2!C936=Sheet1!C$19,Sheet2!D936=Sheet1!D$19),1,0)</f>
        <v>0</v>
      </c>
      <c r="B936" s="10" t="s">
        <v>158</v>
      </c>
      <c r="C936" s="11">
        <v>0.5</v>
      </c>
      <c r="D936" s="22">
        <v>13</v>
      </c>
      <c r="E936" s="22">
        <v>11222</v>
      </c>
      <c r="F936" s="10" t="s">
        <v>74</v>
      </c>
      <c r="G936" s="10" t="str">
        <f t="shared" si="6"/>
        <v>11222A</v>
      </c>
    </row>
    <row r="937" spans="1:7" x14ac:dyDescent="0.25">
      <c r="A937">
        <f>IF(AND(Sheet2!B937=Sheet1!B$19,Sheet2!C937=Sheet1!C$19,Sheet2!D937=Sheet1!D$19),1,0)</f>
        <v>0</v>
      </c>
      <c r="B937" s="10" t="s">
        <v>158</v>
      </c>
      <c r="C937" s="11">
        <v>0.5</v>
      </c>
      <c r="D937" s="22">
        <v>14</v>
      </c>
      <c r="E937" s="22">
        <v>11223</v>
      </c>
      <c r="F937" s="10" t="s">
        <v>74</v>
      </c>
      <c r="G937" s="10" t="str">
        <f t="shared" si="6"/>
        <v>11223A</v>
      </c>
    </row>
    <row r="938" spans="1:7" x14ac:dyDescent="0.25">
      <c r="A938">
        <f>IF(AND(Sheet2!B938=Sheet1!B$19,Sheet2!C938=Sheet1!C$19,Sheet2!D938=Sheet1!D$19),1,0)</f>
        <v>0</v>
      </c>
      <c r="B938" s="10" t="s">
        <v>158</v>
      </c>
      <c r="C938" s="11">
        <v>0.5</v>
      </c>
      <c r="D938" s="22">
        <v>15</v>
      </c>
      <c r="E938" s="22">
        <v>11224</v>
      </c>
      <c r="F938" s="10" t="s">
        <v>74</v>
      </c>
      <c r="G938" s="10" t="str">
        <f t="shared" si="6"/>
        <v>11224A</v>
      </c>
    </row>
    <row r="939" spans="1:7" x14ac:dyDescent="0.25">
      <c r="A939">
        <f>IF(AND(Sheet2!B939=Sheet1!B$19,Sheet2!C939=Sheet1!C$19,Sheet2!D939=Sheet1!D$19),1,0)</f>
        <v>0</v>
      </c>
      <c r="B939" s="10" t="s">
        <v>158</v>
      </c>
      <c r="C939" s="11">
        <v>0.5</v>
      </c>
      <c r="D939" s="22">
        <v>16</v>
      </c>
      <c r="E939" s="22">
        <v>11225</v>
      </c>
      <c r="F939" s="10" t="s">
        <v>74</v>
      </c>
      <c r="G939" s="10" t="str">
        <f t="shared" si="6"/>
        <v>11225A</v>
      </c>
    </row>
    <row r="940" spans="1:7" x14ac:dyDescent="0.25">
      <c r="A940">
        <f>IF(AND(Sheet2!B940=Sheet1!B$19,Sheet2!C940=Sheet1!C$19,Sheet2!D940=Sheet1!D$19),1,0)</f>
        <v>0</v>
      </c>
      <c r="B940" s="10" t="s">
        <v>158</v>
      </c>
      <c r="C940" s="11">
        <v>0.5</v>
      </c>
      <c r="D940" s="22">
        <v>17</v>
      </c>
      <c r="E940" s="22">
        <v>11226</v>
      </c>
      <c r="F940" s="10" t="s">
        <v>74</v>
      </c>
      <c r="G940" s="10" t="str">
        <f t="shared" si="6"/>
        <v>11226A</v>
      </c>
    </row>
    <row r="941" spans="1:7" x14ac:dyDescent="0.25">
      <c r="A941">
        <f>IF(AND(Sheet2!B941=Sheet1!B$19,Sheet2!C941=Sheet1!C$19,Sheet2!D941=Sheet1!D$19),1,0)</f>
        <v>0</v>
      </c>
      <c r="B941" s="10" t="s">
        <v>158</v>
      </c>
      <c r="C941" s="11">
        <v>0.5</v>
      </c>
      <c r="D941" s="22">
        <v>18</v>
      </c>
      <c r="E941" s="22">
        <v>11227</v>
      </c>
      <c r="F941" s="10" t="s">
        <v>74</v>
      </c>
      <c r="G941" s="10" t="str">
        <f t="shared" si="6"/>
        <v>11227A</v>
      </c>
    </row>
    <row r="942" spans="1:7" x14ac:dyDescent="0.25">
      <c r="A942">
        <f>IF(AND(Sheet2!B942=Sheet1!B$19,Sheet2!C942=Sheet1!C$19,Sheet2!D942=Sheet1!D$19),1,0)</f>
        <v>0</v>
      </c>
      <c r="B942" s="10" t="s">
        <v>158</v>
      </c>
      <c r="C942" s="11">
        <v>0.5</v>
      </c>
      <c r="D942" s="22">
        <v>19</v>
      </c>
      <c r="E942" s="22">
        <v>11228</v>
      </c>
      <c r="F942" s="10" t="s">
        <v>74</v>
      </c>
      <c r="G942" s="10" t="str">
        <f t="shared" si="6"/>
        <v>11228A</v>
      </c>
    </row>
    <row r="943" spans="1:7" x14ac:dyDescent="0.25">
      <c r="A943">
        <f>IF(AND(Sheet2!B943=Sheet1!B$19,Sheet2!C943=Sheet1!C$19,Sheet2!D943=Sheet1!D$19),1,0)</f>
        <v>0</v>
      </c>
      <c r="B943" s="10" t="s">
        <v>158</v>
      </c>
      <c r="C943" s="11">
        <v>0.5</v>
      </c>
      <c r="D943" s="22">
        <v>20</v>
      </c>
      <c r="E943" s="22">
        <v>11229</v>
      </c>
      <c r="F943" s="10" t="s">
        <v>74</v>
      </c>
      <c r="G943" s="10" t="str">
        <f t="shared" si="6"/>
        <v>11229A</v>
      </c>
    </row>
    <row r="944" spans="1:7" x14ac:dyDescent="0.25">
      <c r="A944">
        <f>IF(AND(Sheet2!B944=Sheet1!B$19,Sheet2!C944=Sheet1!C$19,Sheet2!D944=Sheet1!D$19),1,0)</f>
        <v>0</v>
      </c>
      <c r="B944" s="10" t="s">
        <v>158</v>
      </c>
      <c r="C944" s="11">
        <v>0.5</v>
      </c>
      <c r="D944" s="22">
        <v>21</v>
      </c>
      <c r="E944" s="22">
        <v>11626</v>
      </c>
      <c r="F944" s="10" t="s">
        <v>74</v>
      </c>
      <c r="G944" s="10" t="str">
        <f t="shared" si="6"/>
        <v>11626A</v>
      </c>
    </row>
    <row r="945" spans="1:7" x14ac:dyDescent="0.25">
      <c r="A945">
        <f>IF(AND(Sheet2!B945=Sheet1!B$19,Sheet2!C945=Sheet1!C$19,Sheet2!D945=Sheet1!D$19),1,0)</f>
        <v>0</v>
      </c>
      <c r="B945" s="10" t="s">
        <v>158</v>
      </c>
      <c r="C945" s="11">
        <v>0.5</v>
      </c>
      <c r="D945" s="22">
        <v>22</v>
      </c>
      <c r="E945" s="22">
        <v>11627</v>
      </c>
      <c r="F945" s="10" t="s">
        <v>74</v>
      </c>
      <c r="G945" s="10" t="str">
        <f t="shared" si="6"/>
        <v>11627A</v>
      </c>
    </row>
    <row r="946" spans="1:7" x14ac:dyDescent="0.25">
      <c r="A946">
        <f>IF(AND(Sheet2!B946=Sheet1!B$19,Sheet2!C946=Sheet1!C$19,Sheet2!D946=Sheet1!D$19),1,0)</f>
        <v>0</v>
      </c>
      <c r="B946" s="10" t="s">
        <v>158</v>
      </c>
      <c r="C946" s="11">
        <v>0.5</v>
      </c>
      <c r="D946" s="22">
        <v>23</v>
      </c>
      <c r="E946" s="22">
        <v>11628</v>
      </c>
      <c r="F946" s="10" t="s">
        <v>74</v>
      </c>
      <c r="G946" s="10" t="str">
        <f t="shared" si="6"/>
        <v>11628A</v>
      </c>
    </row>
    <row r="947" spans="1:7" x14ac:dyDescent="0.25">
      <c r="A947">
        <f>IF(AND(Sheet2!B947=Sheet1!B$19,Sheet2!C947=Sheet1!C$19,Sheet2!D947=Sheet1!D$19),1,0)</f>
        <v>0</v>
      </c>
      <c r="B947" s="10" t="s">
        <v>158</v>
      </c>
      <c r="C947" s="11">
        <v>0.5</v>
      </c>
      <c r="D947" s="22">
        <v>24</v>
      </c>
      <c r="E947" s="22">
        <v>11629</v>
      </c>
      <c r="F947" s="10" t="s">
        <v>74</v>
      </c>
      <c r="G947" s="10" t="str">
        <f t="shared" si="6"/>
        <v>11629A</v>
      </c>
    </row>
    <row r="948" spans="1:7" x14ac:dyDescent="0.25">
      <c r="A948">
        <f>IF(AND(Sheet2!B948=Sheet1!B$19,Sheet2!C948=Sheet1!C$19,Sheet2!D948=Sheet1!D$19),1,0)</f>
        <v>0</v>
      </c>
      <c r="B948" s="10" t="s">
        <v>158</v>
      </c>
      <c r="C948" s="11">
        <v>0.5</v>
      </c>
      <c r="D948" s="22">
        <v>25</v>
      </c>
      <c r="E948" s="22">
        <v>11630</v>
      </c>
      <c r="F948" s="10" t="s">
        <v>74</v>
      </c>
      <c r="G948" s="10" t="str">
        <f t="shared" si="6"/>
        <v>11630A</v>
      </c>
    </row>
    <row r="949" spans="1:7" x14ac:dyDescent="0.25">
      <c r="A949">
        <f>IF(AND(Sheet2!B949=Sheet1!B$19,Sheet2!C949=Sheet1!C$19,Sheet2!D949=Sheet1!D$19),1,0)</f>
        <v>0</v>
      </c>
      <c r="B949" s="10" t="s">
        <v>158</v>
      </c>
      <c r="C949" s="11">
        <v>0.5</v>
      </c>
      <c r="D949" s="22">
        <v>26</v>
      </c>
      <c r="E949" s="22">
        <v>11631</v>
      </c>
      <c r="F949" s="10" t="s">
        <v>74</v>
      </c>
      <c r="G949" s="10" t="str">
        <f t="shared" si="6"/>
        <v>11631A</v>
      </c>
    </row>
    <row r="950" spans="1:7" x14ac:dyDescent="0.25">
      <c r="A950">
        <f>IF(AND(Sheet2!B950=Sheet1!B$19,Sheet2!C950=Sheet1!C$19,Sheet2!D950=Sheet1!D$19),1,0)</f>
        <v>0</v>
      </c>
      <c r="B950" s="10" t="s">
        <v>158</v>
      </c>
      <c r="C950" s="11">
        <v>0.5</v>
      </c>
      <c r="D950" s="22">
        <v>27</v>
      </c>
      <c r="E950" s="22">
        <v>11632</v>
      </c>
      <c r="F950" s="10" t="s">
        <v>74</v>
      </c>
      <c r="G950" s="10" t="str">
        <f t="shared" si="6"/>
        <v>11632A</v>
      </c>
    </row>
    <row r="951" spans="1:7" x14ac:dyDescent="0.25">
      <c r="A951">
        <f>IF(AND(Sheet2!B951=Sheet1!B$19,Sheet2!C951=Sheet1!C$19,Sheet2!D951=Sheet1!D$19),1,0)</f>
        <v>0</v>
      </c>
      <c r="B951" s="10" t="s">
        <v>158</v>
      </c>
      <c r="C951" s="11">
        <v>0.5</v>
      </c>
      <c r="D951" s="22">
        <v>28</v>
      </c>
      <c r="E951" s="22">
        <v>11633</v>
      </c>
      <c r="F951" s="10" t="s">
        <v>74</v>
      </c>
      <c r="G951" s="10" t="str">
        <f t="shared" si="6"/>
        <v>11633A</v>
      </c>
    </row>
    <row r="952" spans="1:7" x14ac:dyDescent="0.25">
      <c r="A952">
        <f>IF(AND(Sheet2!B952=Sheet1!B$19,Sheet2!C952=Sheet1!C$19,Sheet2!D952=Sheet1!D$19),1,0)</f>
        <v>0</v>
      </c>
      <c r="B952" s="10" t="s">
        <v>158</v>
      </c>
      <c r="C952" s="11">
        <v>0.5</v>
      </c>
      <c r="D952" s="22">
        <v>29</v>
      </c>
      <c r="E952" s="22">
        <v>11634</v>
      </c>
      <c r="F952" s="10" t="s">
        <v>74</v>
      </c>
      <c r="G952" s="10" t="str">
        <f t="shared" si="6"/>
        <v>11634A</v>
      </c>
    </row>
    <row r="953" spans="1:7" x14ac:dyDescent="0.25">
      <c r="A953">
        <f>IF(AND(Sheet2!B953=Sheet1!B$19,Sheet2!C953=Sheet1!C$19,Sheet2!D953=Sheet1!D$19),1,0)</f>
        <v>0</v>
      </c>
      <c r="B953" s="10" t="s">
        <v>158</v>
      </c>
      <c r="C953" s="11">
        <v>0.5</v>
      </c>
      <c r="D953" s="22">
        <v>30</v>
      </c>
      <c r="E953" s="22">
        <v>11635</v>
      </c>
      <c r="F953" s="10" t="s">
        <v>74</v>
      </c>
      <c r="G953" s="10" t="str">
        <f t="shared" si="6"/>
        <v>11635A</v>
      </c>
    </row>
    <row r="954" spans="1:7" x14ac:dyDescent="0.25">
      <c r="A954">
        <f>IF(AND(Sheet2!B954=Sheet1!B$19,Sheet2!C954=Sheet1!C$19,Sheet2!D954=Sheet1!D$19),1,0)</f>
        <v>0</v>
      </c>
      <c r="B954" s="10" t="s">
        <v>158</v>
      </c>
      <c r="C954" s="11">
        <v>0.5</v>
      </c>
      <c r="D954" s="22">
        <v>31</v>
      </c>
      <c r="E954" s="22">
        <v>11636</v>
      </c>
      <c r="F954" s="10" t="s">
        <v>74</v>
      </c>
      <c r="G954" s="10" t="str">
        <f t="shared" si="6"/>
        <v>11636A</v>
      </c>
    </row>
    <row r="955" spans="1:7" x14ac:dyDescent="0.25">
      <c r="A955">
        <f>IF(AND(Sheet2!B955=Sheet1!B$19,Sheet2!C955=Sheet1!C$19,Sheet2!D955=Sheet1!D$19),1,0)</f>
        <v>0</v>
      </c>
      <c r="B955" s="10" t="s">
        <v>158</v>
      </c>
      <c r="C955" s="11">
        <v>0.5</v>
      </c>
      <c r="D955" s="22">
        <v>32</v>
      </c>
      <c r="E955" s="22">
        <v>11637</v>
      </c>
      <c r="F955" s="10" t="s">
        <v>74</v>
      </c>
      <c r="G955" s="10" t="str">
        <f t="shared" si="6"/>
        <v>11637A</v>
      </c>
    </row>
    <row r="956" spans="1:7" x14ac:dyDescent="0.25">
      <c r="A956">
        <f>IF(AND(Sheet2!B956=Sheet1!B$19,Sheet2!C956=Sheet1!C$19,Sheet2!D956=Sheet1!D$19),1,0)</f>
        <v>0</v>
      </c>
      <c r="B956" s="10" t="s">
        <v>158</v>
      </c>
      <c r="C956" s="11">
        <v>0.5</v>
      </c>
      <c r="D956" s="22">
        <v>33</v>
      </c>
      <c r="E956" s="22">
        <v>11638</v>
      </c>
      <c r="F956" s="10" t="s">
        <v>74</v>
      </c>
      <c r="G956" s="10" t="str">
        <f t="shared" si="6"/>
        <v>11638A</v>
      </c>
    </row>
    <row r="957" spans="1:7" x14ac:dyDescent="0.25">
      <c r="A957">
        <f>IF(AND(Sheet2!B957=Sheet1!B$19,Sheet2!C957=Sheet1!C$19,Sheet2!D957=Sheet1!D$19),1,0)</f>
        <v>0</v>
      </c>
      <c r="B957" s="10" t="s">
        <v>158</v>
      </c>
      <c r="C957" s="11">
        <v>0.5</v>
      </c>
      <c r="D957" s="22">
        <v>34</v>
      </c>
      <c r="E957" s="22">
        <v>11639</v>
      </c>
      <c r="F957" s="10" t="s">
        <v>74</v>
      </c>
      <c r="G957" s="10" t="str">
        <f t="shared" si="6"/>
        <v>11639A</v>
      </c>
    </row>
    <row r="958" spans="1:7" x14ac:dyDescent="0.25">
      <c r="A958">
        <f>IF(AND(Sheet2!B958=Sheet1!B$19,Sheet2!C958=Sheet1!C$19,Sheet2!D958=Sheet1!D$19),1,0)</f>
        <v>0</v>
      </c>
      <c r="B958" s="10" t="s">
        <v>158</v>
      </c>
      <c r="C958" s="11">
        <v>0.5</v>
      </c>
      <c r="D958" s="22">
        <v>35</v>
      </c>
      <c r="E958" s="22">
        <v>11640</v>
      </c>
      <c r="F958" s="10" t="s">
        <v>74</v>
      </c>
      <c r="G958" s="10" t="str">
        <f t="shared" si="6"/>
        <v>11640A</v>
      </c>
    </row>
    <row r="959" spans="1:7" x14ac:dyDescent="0.25">
      <c r="A959">
        <f>IF(AND(Sheet2!B959=Sheet1!B$19,Sheet2!C959=Sheet1!C$19,Sheet2!D959=Sheet1!D$19),1,0)</f>
        <v>0</v>
      </c>
      <c r="B959" s="10" t="s">
        <v>158</v>
      </c>
      <c r="C959" s="11">
        <v>0.5</v>
      </c>
      <c r="D959" s="22">
        <v>36</v>
      </c>
      <c r="E959" s="22">
        <v>11641</v>
      </c>
      <c r="F959" s="10" t="s">
        <v>74</v>
      </c>
      <c r="G959" s="10" t="str">
        <f t="shared" si="6"/>
        <v>11641A</v>
      </c>
    </row>
    <row r="960" spans="1:7" x14ac:dyDescent="0.25">
      <c r="A960">
        <f>IF(AND(Sheet2!B960=Sheet1!B$19,Sheet2!C960=Sheet1!C$19,Sheet2!D960=Sheet1!D$19),1,0)</f>
        <v>0</v>
      </c>
      <c r="B960" s="10" t="s">
        <v>158</v>
      </c>
      <c r="C960" s="11">
        <v>0.5</v>
      </c>
      <c r="D960" s="22">
        <v>37</v>
      </c>
      <c r="E960" s="22">
        <v>11642</v>
      </c>
      <c r="F960" s="10" t="s">
        <v>74</v>
      </c>
      <c r="G960" s="10" t="str">
        <f t="shared" si="6"/>
        <v>11642A</v>
      </c>
    </row>
    <row r="961" spans="1:7" x14ac:dyDescent="0.25">
      <c r="A961">
        <f>IF(AND(Sheet2!B961=Sheet1!B$19,Sheet2!C961=Sheet1!C$19,Sheet2!D961=Sheet1!D$19),1,0)</f>
        <v>0</v>
      </c>
      <c r="B961" s="10" t="s">
        <v>158</v>
      </c>
      <c r="C961" s="11">
        <v>0.5</v>
      </c>
      <c r="D961" s="22">
        <v>38</v>
      </c>
      <c r="E961" s="22">
        <v>11643</v>
      </c>
      <c r="F961" s="10" t="s">
        <v>74</v>
      </c>
      <c r="G961" s="10" t="str">
        <f t="shared" si="6"/>
        <v>11643A</v>
      </c>
    </row>
    <row r="962" spans="1:7" x14ac:dyDescent="0.25">
      <c r="A962">
        <f>IF(AND(Sheet2!B962=Sheet1!B$19,Sheet2!C962=Sheet1!C$19,Sheet2!D962=Sheet1!D$19),1,0)</f>
        <v>0</v>
      </c>
      <c r="B962" s="10" t="s">
        <v>158</v>
      </c>
      <c r="C962" s="11">
        <v>0.5</v>
      </c>
      <c r="D962" s="22">
        <v>39</v>
      </c>
      <c r="E962" s="22">
        <v>11644</v>
      </c>
      <c r="F962" s="10" t="s">
        <v>74</v>
      </c>
      <c r="G962" s="10" t="str">
        <f t="shared" ref="G962:G1025" si="7">CONCATENATE(E962,F962)</f>
        <v>11644A</v>
      </c>
    </row>
    <row r="963" spans="1:7" x14ac:dyDescent="0.25">
      <c r="A963">
        <f>IF(AND(Sheet2!B963=Sheet1!B$19,Sheet2!C963=Sheet1!C$19,Sheet2!D963=Sheet1!D$19),1,0)</f>
        <v>0</v>
      </c>
      <c r="B963" s="10" t="s">
        <v>158</v>
      </c>
      <c r="C963" s="11">
        <v>0.5</v>
      </c>
      <c r="D963" s="22">
        <v>40</v>
      </c>
      <c r="E963" s="22">
        <v>11645</v>
      </c>
      <c r="F963" s="10" t="s">
        <v>74</v>
      </c>
      <c r="G963" s="10" t="str">
        <f t="shared" si="7"/>
        <v>11645A</v>
      </c>
    </row>
    <row r="964" spans="1:7" x14ac:dyDescent="0.25">
      <c r="A964">
        <f>IF(AND(Sheet2!B964=Sheet1!B$19,Sheet2!C964=Sheet1!C$19,Sheet2!D964=Sheet1!D$19),1,0)</f>
        <v>0</v>
      </c>
      <c r="B964" s="10" t="s">
        <v>158</v>
      </c>
      <c r="C964" s="11">
        <v>0.5</v>
      </c>
      <c r="D964" s="22">
        <v>41</v>
      </c>
      <c r="E964" s="22">
        <v>11646</v>
      </c>
      <c r="F964" s="10" t="s">
        <v>74</v>
      </c>
      <c r="G964" s="10" t="str">
        <f t="shared" si="7"/>
        <v>11646A</v>
      </c>
    </row>
    <row r="965" spans="1:7" x14ac:dyDescent="0.25">
      <c r="A965">
        <f>IF(AND(Sheet2!B965=Sheet1!B$19,Sheet2!C965=Sheet1!C$19,Sheet2!D965=Sheet1!D$19),1,0)</f>
        <v>0</v>
      </c>
      <c r="B965" s="10" t="s">
        <v>158</v>
      </c>
      <c r="C965" s="11">
        <v>0.5</v>
      </c>
      <c r="D965" s="22">
        <v>42</v>
      </c>
      <c r="E965" s="22">
        <v>11647</v>
      </c>
      <c r="F965" s="10" t="s">
        <v>74</v>
      </c>
      <c r="G965" s="10" t="str">
        <f t="shared" si="7"/>
        <v>11647A</v>
      </c>
    </row>
    <row r="966" spans="1:7" x14ac:dyDescent="0.25">
      <c r="A966">
        <f>IF(AND(Sheet2!B966=Sheet1!B$19,Sheet2!C966=Sheet1!C$19,Sheet2!D966=Sheet1!D$19),1,0)</f>
        <v>0</v>
      </c>
      <c r="B966" s="10" t="s">
        <v>158</v>
      </c>
      <c r="C966" s="11">
        <v>0.5</v>
      </c>
      <c r="D966" s="22">
        <v>43</v>
      </c>
      <c r="E966" s="22">
        <v>11648</v>
      </c>
      <c r="F966" s="10" t="s">
        <v>74</v>
      </c>
      <c r="G966" s="10" t="str">
        <f t="shared" si="7"/>
        <v>11648A</v>
      </c>
    </row>
    <row r="967" spans="1:7" x14ac:dyDescent="0.25">
      <c r="A967">
        <f>IF(AND(Sheet2!B967=Sheet1!B$19,Sheet2!C967=Sheet1!C$19,Sheet2!D967=Sheet1!D$19),1,0)</f>
        <v>0</v>
      </c>
      <c r="B967" s="10" t="s">
        <v>158</v>
      </c>
      <c r="C967" s="11">
        <v>0.5</v>
      </c>
      <c r="D967" s="22">
        <v>44</v>
      </c>
      <c r="E967" s="22">
        <v>11649</v>
      </c>
      <c r="F967" s="10" t="s">
        <v>74</v>
      </c>
      <c r="G967" s="10" t="str">
        <f t="shared" si="7"/>
        <v>11649A</v>
      </c>
    </row>
    <row r="968" spans="1:7" x14ac:dyDescent="0.25">
      <c r="A968">
        <f>IF(AND(Sheet2!B968=Sheet1!B$19,Sheet2!C968=Sheet1!C$19,Sheet2!D968=Sheet1!D$19),1,0)</f>
        <v>0</v>
      </c>
      <c r="B968" s="10" t="s">
        <v>158</v>
      </c>
      <c r="C968" s="11">
        <v>0.5</v>
      </c>
      <c r="D968" s="22">
        <v>45</v>
      </c>
      <c r="E968" s="22">
        <v>11650</v>
      </c>
      <c r="F968" s="10" t="s">
        <v>74</v>
      </c>
      <c r="G968" s="10" t="str">
        <f t="shared" si="7"/>
        <v>11650A</v>
      </c>
    </row>
    <row r="969" spans="1:7" x14ac:dyDescent="0.25">
      <c r="A969">
        <f>IF(AND(Sheet2!B969=Sheet1!B$19,Sheet2!C969=Sheet1!C$19,Sheet2!D969=Sheet1!D$19),1,0)</f>
        <v>0</v>
      </c>
      <c r="B969" s="10" t="s">
        <v>158</v>
      </c>
      <c r="C969" s="11">
        <v>0.5</v>
      </c>
      <c r="D969" s="22">
        <v>46</v>
      </c>
      <c r="E969" s="22">
        <v>11651</v>
      </c>
      <c r="F969" s="10" t="s">
        <v>74</v>
      </c>
      <c r="G969" s="10" t="str">
        <f t="shared" si="7"/>
        <v>11651A</v>
      </c>
    </row>
    <row r="970" spans="1:7" x14ac:dyDescent="0.25">
      <c r="A970">
        <f>IF(AND(Sheet2!B970=Sheet1!B$19,Sheet2!C970=Sheet1!C$19,Sheet2!D970=Sheet1!D$19),1,0)</f>
        <v>0</v>
      </c>
      <c r="B970" s="10" t="s">
        <v>158</v>
      </c>
      <c r="C970" s="11">
        <v>0.5</v>
      </c>
      <c r="D970" s="22">
        <v>47</v>
      </c>
      <c r="E970" s="22">
        <v>11652</v>
      </c>
      <c r="F970" s="10" t="s">
        <v>74</v>
      </c>
      <c r="G970" s="10" t="str">
        <f t="shared" si="7"/>
        <v>11652A</v>
      </c>
    </row>
    <row r="971" spans="1:7" x14ac:dyDescent="0.25">
      <c r="A971">
        <f>IF(AND(Sheet2!B971=Sheet1!B$19,Sheet2!C971=Sheet1!C$19,Sheet2!D971=Sheet1!D$19),1,0)</f>
        <v>0</v>
      </c>
      <c r="B971" s="10" t="s">
        <v>158</v>
      </c>
      <c r="C971" s="11">
        <v>0.5</v>
      </c>
      <c r="D971" s="22">
        <v>48</v>
      </c>
      <c r="E971" s="22">
        <v>11653</v>
      </c>
      <c r="F971" s="10" t="s">
        <v>74</v>
      </c>
      <c r="G971" s="10" t="str">
        <f t="shared" si="7"/>
        <v>11653A</v>
      </c>
    </row>
    <row r="972" spans="1:7" x14ac:dyDescent="0.25">
      <c r="A972">
        <f>IF(AND(Sheet2!B972=Sheet1!B$19,Sheet2!C972=Sheet1!C$19,Sheet2!D972=Sheet1!D$19),1,0)</f>
        <v>0</v>
      </c>
      <c r="B972" s="10" t="s">
        <v>158</v>
      </c>
      <c r="C972" s="11">
        <v>0.5</v>
      </c>
      <c r="D972" s="22">
        <v>49</v>
      </c>
      <c r="E972" s="22">
        <v>11654</v>
      </c>
      <c r="F972" s="10" t="s">
        <v>74</v>
      </c>
      <c r="G972" s="10" t="str">
        <f t="shared" si="7"/>
        <v>11654A</v>
      </c>
    </row>
    <row r="973" spans="1:7" x14ac:dyDescent="0.25">
      <c r="A973">
        <f>IF(AND(Sheet2!B973=Sheet1!B$19,Sheet2!C973=Sheet1!C$19,Sheet2!D973=Sheet1!D$19),1,0)</f>
        <v>0</v>
      </c>
      <c r="B973" s="10" t="s">
        <v>158</v>
      </c>
      <c r="C973" s="11">
        <v>0.5</v>
      </c>
      <c r="D973" s="22">
        <v>50</v>
      </c>
      <c r="E973" s="22">
        <v>11655</v>
      </c>
      <c r="F973" s="10" t="s">
        <v>74</v>
      </c>
      <c r="G973" s="10" t="str">
        <f t="shared" si="7"/>
        <v>11655A</v>
      </c>
    </row>
    <row r="974" spans="1:7" x14ac:dyDescent="0.25">
      <c r="A974">
        <f>IF(AND(Sheet2!B974=Sheet1!B$19,Sheet2!C974=Sheet1!C$19,Sheet2!D974=Sheet1!D$19),1,0)</f>
        <v>0</v>
      </c>
      <c r="B974" s="10" t="s">
        <v>158</v>
      </c>
      <c r="C974" s="11">
        <v>0.5</v>
      </c>
      <c r="D974" s="22">
        <v>51</v>
      </c>
      <c r="E974" s="22">
        <v>11656</v>
      </c>
      <c r="F974" s="10" t="s">
        <v>74</v>
      </c>
      <c r="G974" s="10" t="str">
        <f t="shared" si="7"/>
        <v>11656A</v>
      </c>
    </row>
    <row r="975" spans="1:7" x14ac:dyDescent="0.25">
      <c r="A975">
        <f>IF(AND(Sheet2!B975=Sheet1!B$19,Sheet2!C975=Sheet1!C$19,Sheet2!D975=Sheet1!D$19),1,0)</f>
        <v>0</v>
      </c>
      <c r="B975" s="10" t="s">
        <v>158</v>
      </c>
      <c r="C975" s="11">
        <v>0.5</v>
      </c>
      <c r="D975" s="22">
        <v>52</v>
      </c>
      <c r="E975" s="22">
        <v>11657</v>
      </c>
      <c r="F975" s="10" t="s">
        <v>74</v>
      </c>
      <c r="G975" s="10" t="str">
        <f t="shared" si="7"/>
        <v>11657A</v>
      </c>
    </row>
    <row r="976" spans="1:7" x14ac:dyDescent="0.25">
      <c r="A976">
        <f>IF(AND(Sheet2!B976=Sheet1!B$19,Sheet2!C976=Sheet1!C$19,Sheet2!D976=Sheet1!D$19),1,0)</f>
        <v>0</v>
      </c>
      <c r="B976" s="10" t="s">
        <v>158</v>
      </c>
      <c r="C976" s="11">
        <v>0.5</v>
      </c>
      <c r="D976" s="22">
        <v>53</v>
      </c>
      <c r="E976" s="22">
        <v>11658</v>
      </c>
      <c r="F976" s="10" t="s">
        <v>74</v>
      </c>
      <c r="G976" s="10" t="str">
        <f t="shared" si="7"/>
        <v>11658A</v>
      </c>
    </row>
    <row r="977" spans="1:7" x14ac:dyDescent="0.25">
      <c r="A977">
        <f>IF(AND(Sheet2!B977=Sheet1!B$19,Sheet2!C977=Sheet1!C$19,Sheet2!D977=Sheet1!D$19),1,0)</f>
        <v>0</v>
      </c>
      <c r="B977" s="10" t="s">
        <v>158</v>
      </c>
      <c r="C977" s="11">
        <v>0.5</v>
      </c>
      <c r="D977" s="22">
        <v>54</v>
      </c>
      <c r="E977" s="22">
        <v>11659</v>
      </c>
      <c r="F977" s="10" t="s">
        <v>74</v>
      </c>
      <c r="G977" s="10" t="str">
        <f t="shared" si="7"/>
        <v>11659A</v>
      </c>
    </row>
    <row r="978" spans="1:7" x14ac:dyDescent="0.25">
      <c r="A978">
        <f>IF(AND(Sheet2!B978=Sheet1!B$19,Sheet2!C978=Sheet1!C$19,Sheet2!D978=Sheet1!D$19),1,0)</f>
        <v>0</v>
      </c>
      <c r="B978" s="10" t="s">
        <v>158</v>
      </c>
      <c r="C978" s="11">
        <v>0.5</v>
      </c>
      <c r="D978" s="22">
        <v>55</v>
      </c>
      <c r="E978" s="22">
        <v>11660</v>
      </c>
      <c r="F978" s="10" t="s">
        <v>74</v>
      </c>
      <c r="G978" s="10" t="str">
        <f t="shared" si="7"/>
        <v>11660A</v>
      </c>
    </row>
    <row r="979" spans="1:7" x14ac:dyDescent="0.25">
      <c r="A979">
        <f>IF(AND(Sheet2!B979=Sheet1!B$19,Sheet2!C979=Sheet1!C$19,Sheet2!D979=Sheet1!D$19),1,0)</f>
        <v>0</v>
      </c>
      <c r="B979" s="10" t="s">
        <v>158</v>
      </c>
      <c r="C979" s="11">
        <v>0.5</v>
      </c>
      <c r="D979" s="22">
        <v>56</v>
      </c>
      <c r="E979" s="22">
        <v>11661</v>
      </c>
      <c r="F979" s="10" t="s">
        <v>74</v>
      </c>
      <c r="G979" s="10" t="str">
        <f t="shared" si="7"/>
        <v>11661A</v>
      </c>
    </row>
    <row r="980" spans="1:7" x14ac:dyDescent="0.25">
      <c r="A980">
        <f>IF(AND(Sheet2!B980=Sheet1!B$19,Sheet2!C980=Sheet1!C$19,Sheet2!D980=Sheet1!D$19),1,0)</f>
        <v>0</v>
      </c>
      <c r="B980" s="10" t="s">
        <v>158</v>
      </c>
      <c r="C980" s="11">
        <v>0.5</v>
      </c>
      <c r="D980" s="22">
        <v>57</v>
      </c>
      <c r="E980" s="22">
        <v>11662</v>
      </c>
      <c r="F980" s="10" t="s">
        <v>74</v>
      </c>
      <c r="G980" s="10" t="str">
        <f t="shared" si="7"/>
        <v>11662A</v>
      </c>
    </row>
    <row r="981" spans="1:7" x14ac:dyDescent="0.25">
      <c r="A981">
        <f>IF(AND(Sheet2!B981=Sheet1!B$19,Sheet2!C981=Sheet1!C$19,Sheet2!D981=Sheet1!D$19),1,0)</f>
        <v>0</v>
      </c>
      <c r="B981" s="10" t="s">
        <v>158</v>
      </c>
      <c r="C981" s="11">
        <v>0.5</v>
      </c>
      <c r="D981" s="22">
        <v>58</v>
      </c>
      <c r="E981" s="22">
        <v>11663</v>
      </c>
      <c r="F981" s="10" t="s">
        <v>74</v>
      </c>
      <c r="G981" s="10" t="str">
        <f t="shared" si="7"/>
        <v>11663A</v>
      </c>
    </row>
    <row r="982" spans="1:7" x14ac:dyDescent="0.25">
      <c r="A982">
        <f>IF(AND(Sheet2!B982=Sheet1!B$19,Sheet2!C982=Sheet1!C$19,Sheet2!D982=Sheet1!D$19),1,0)</f>
        <v>0</v>
      </c>
      <c r="B982" s="10" t="s">
        <v>158</v>
      </c>
      <c r="C982" s="11">
        <v>0.5</v>
      </c>
      <c r="D982" s="22">
        <v>59</v>
      </c>
      <c r="E982" s="22">
        <v>11664</v>
      </c>
      <c r="F982" s="10" t="s">
        <v>74</v>
      </c>
      <c r="G982" s="10" t="str">
        <f t="shared" si="7"/>
        <v>11664A</v>
      </c>
    </row>
    <row r="983" spans="1:7" x14ac:dyDescent="0.25">
      <c r="A983">
        <f>IF(AND(Sheet2!B983=Sheet1!B$19,Sheet2!C983=Sheet1!C$19,Sheet2!D983=Sheet1!D$19),1,0)</f>
        <v>0</v>
      </c>
      <c r="B983" s="10" t="s">
        <v>158</v>
      </c>
      <c r="C983" s="11">
        <v>0.5</v>
      </c>
      <c r="D983" s="22">
        <v>60</v>
      </c>
      <c r="E983" s="22">
        <v>11665</v>
      </c>
      <c r="F983" s="10" t="s">
        <v>74</v>
      </c>
      <c r="G983" s="10" t="str">
        <f t="shared" si="7"/>
        <v>11665A</v>
      </c>
    </row>
    <row r="984" spans="1:7" x14ac:dyDescent="0.25">
      <c r="A984">
        <f>IF(AND(Sheet2!B984=Sheet1!B$19,Sheet2!C984=Sheet1!C$19,Sheet2!D984=Sheet1!D$19),1,0)</f>
        <v>0</v>
      </c>
      <c r="B984" s="10" t="s">
        <v>158</v>
      </c>
      <c r="C984" s="11">
        <v>0.75</v>
      </c>
      <c r="D984" s="22">
        <v>2</v>
      </c>
      <c r="E984" s="22">
        <v>11230</v>
      </c>
      <c r="F984" s="10" t="s">
        <v>74</v>
      </c>
      <c r="G984" s="10" t="str">
        <f t="shared" si="7"/>
        <v>11230A</v>
      </c>
    </row>
    <row r="985" spans="1:7" x14ac:dyDescent="0.25">
      <c r="A985">
        <f>IF(AND(Sheet2!B985=Sheet1!B$19,Sheet2!C985=Sheet1!C$19,Sheet2!D985=Sheet1!D$19),1,0)</f>
        <v>0</v>
      </c>
      <c r="B985" s="10" t="s">
        <v>158</v>
      </c>
      <c r="C985" s="11">
        <v>0.75</v>
      </c>
      <c r="D985" s="22">
        <v>3</v>
      </c>
      <c r="E985" s="22">
        <v>11231</v>
      </c>
      <c r="F985" s="10" t="s">
        <v>74</v>
      </c>
      <c r="G985" s="10" t="str">
        <f t="shared" si="7"/>
        <v>11231A</v>
      </c>
    </row>
    <row r="986" spans="1:7" x14ac:dyDescent="0.25">
      <c r="A986">
        <f>IF(AND(Sheet2!B986=Sheet1!B$19,Sheet2!C986=Sheet1!C$19,Sheet2!D986=Sheet1!D$19),1,0)</f>
        <v>0</v>
      </c>
      <c r="B986" s="10" t="s">
        <v>158</v>
      </c>
      <c r="C986" s="11">
        <v>0.75</v>
      </c>
      <c r="D986" s="22">
        <v>4</v>
      </c>
      <c r="E986" s="22">
        <v>11232</v>
      </c>
      <c r="F986" s="10" t="s">
        <v>74</v>
      </c>
      <c r="G986" s="10" t="str">
        <f t="shared" si="7"/>
        <v>11232A</v>
      </c>
    </row>
    <row r="987" spans="1:7" x14ac:dyDescent="0.25">
      <c r="A987">
        <f>IF(AND(Sheet2!B987=Sheet1!B$19,Sheet2!C987=Sheet1!C$19,Sheet2!D987=Sheet1!D$19),1,0)</f>
        <v>0</v>
      </c>
      <c r="B987" s="10" t="s">
        <v>158</v>
      </c>
      <c r="C987" s="11">
        <v>0.75</v>
      </c>
      <c r="D987" s="22">
        <v>5</v>
      </c>
      <c r="E987" s="22">
        <v>11233</v>
      </c>
      <c r="F987" s="10" t="s">
        <v>74</v>
      </c>
      <c r="G987" s="10" t="str">
        <f t="shared" si="7"/>
        <v>11233A</v>
      </c>
    </row>
    <row r="988" spans="1:7" x14ac:dyDescent="0.25">
      <c r="A988">
        <f>IF(AND(Sheet2!B988=Sheet1!B$19,Sheet2!C988=Sheet1!C$19,Sheet2!D988=Sheet1!D$19),1,0)</f>
        <v>0</v>
      </c>
      <c r="B988" s="10" t="s">
        <v>158</v>
      </c>
      <c r="C988" s="11">
        <v>0.75</v>
      </c>
      <c r="D988" s="22">
        <v>6</v>
      </c>
      <c r="E988" s="22">
        <v>11234</v>
      </c>
      <c r="F988" s="10" t="s">
        <v>74</v>
      </c>
      <c r="G988" s="10" t="str">
        <f t="shared" si="7"/>
        <v>11234A</v>
      </c>
    </row>
    <row r="989" spans="1:7" x14ac:dyDescent="0.25">
      <c r="A989">
        <f>IF(AND(Sheet2!B989=Sheet1!B$19,Sheet2!C989=Sheet1!C$19,Sheet2!D989=Sheet1!D$19),1,0)</f>
        <v>0</v>
      </c>
      <c r="B989" s="10" t="s">
        <v>158</v>
      </c>
      <c r="C989" s="11">
        <v>0.75</v>
      </c>
      <c r="D989" s="22">
        <v>7</v>
      </c>
      <c r="E989" s="22">
        <v>11235</v>
      </c>
      <c r="F989" s="10" t="s">
        <v>74</v>
      </c>
      <c r="G989" s="10" t="str">
        <f t="shared" si="7"/>
        <v>11235A</v>
      </c>
    </row>
    <row r="990" spans="1:7" x14ac:dyDescent="0.25">
      <c r="A990">
        <f>IF(AND(Sheet2!B990=Sheet1!B$19,Sheet2!C990=Sheet1!C$19,Sheet2!D990=Sheet1!D$19),1,0)</f>
        <v>0</v>
      </c>
      <c r="B990" s="10" t="s">
        <v>158</v>
      </c>
      <c r="C990" s="11">
        <v>0.75</v>
      </c>
      <c r="D990" s="22">
        <v>8</v>
      </c>
      <c r="E990" s="22">
        <v>11236</v>
      </c>
      <c r="F990" s="10" t="s">
        <v>74</v>
      </c>
      <c r="G990" s="10" t="str">
        <f t="shared" si="7"/>
        <v>11236A</v>
      </c>
    </row>
    <row r="991" spans="1:7" x14ac:dyDescent="0.25">
      <c r="A991">
        <f>IF(AND(Sheet2!B991=Sheet1!B$19,Sheet2!C991=Sheet1!C$19,Sheet2!D991=Sheet1!D$19),1,0)</f>
        <v>0</v>
      </c>
      <c r="B991" s="10" t="s">
        <v>158</v>
      </c>
      <c r="C991" s="11">
        <v>0.75</v>
      </c>
      <c r="D991" s="22">
        <v>9</v>
      </c>
      <c r="E991" s="22">
        <v>11237</v>
      </c>
      <c r="F991" s="10" t="s">
        <v>74</v>
      </c>
      <c r="G991" s="10" t="str">
        <f t="shared" si="7"/>
        <v>11237A</v>
      </c>
    </row>
    <row r="992" spans="1:7" x14ac:dyDescent="0.25">
      <c r="A992">
        <f>IF(AND(Sheet2!B992=Sheet1!B$19,Sheet2!C992=Sheet1!C$19,Sheet2!D992=Sheet1!D$19),1,0)</f>
        <v>0</v>
      </c>
      <c r="B992" s="10" t="s">
        <v>158</v>
      </c>
      <c r="C992" s="11">
        <v>0.75</v>
      </c>
      <c r="D992" s="22">
        <v>10</v>
      </c>
      <c r="E992" s="22">
        <v>11238</v>
      </c>
      <c r="F992" s="10" t="s">
        <v>74</v>
      </c>
      <c r="G992" s="10" t="str">
        <f t="shared" si="7"/>
        <v>11238A</v>
      </c>
    </row>
    <row r="993" spans="1:7" x14ac:dyDescent="0.25">
      <c r="A993">
        <f>IF(AND(Sheet2!B993=Sheet1!B$19,Sheet2!C993=Sheet1!C$19,Sheet2!D993=Sheet1!D$19),1,0)</f>
        <v>0</v>
      </c>
      <c r="B993" s="10" t="s">
        <v>158</v>
      </c>
      <c r="C993" s="11">
        <v>0.75</v>
      </c>
      <c r="D993" s="22">
        <v>11</v>
      </c>
      <c r="E993" s="22">
        <v>11239</v>
      </c>
      <c r="F993" s="10" t="s">
        <v>74</v>
      </c>
      <c r="G993" s="10" t="str">
        <f t="shared" si="7"/>
        <v>11239A</v>
      </c>
    </row>
    <row r="994" spans="1:7" x14ac:dyDescent="0.25">
      <c r="A994">
        <f>IF(AND(Sheet2!B994=Sheet1!B$19,Sheet2!C994=Sheet1!C$19,Sheet2!D994=Sheet1!D$19),1,0)</f>
        <v>0</v>
      </c>
      <c r="B994" s="10" t="s">
        <v>158</v>
      </c>
      <c r="C994" s="11">
        <v>0.75</v>
      </c>
      <c r="D994" s="22">
        <v>12</v>
      </c>
      <c r="E994" s="22">
        <v>11240</v>
      </c>
      <c r="F994" s="10" t="s">
        <v>74</v>
      </c>
      <c r="G994" s="10" t="str">
        <f t="shared" si="7"/>
        <v>11240A</v>
      </c>
    </row>
    <row r="995" spans="1:7" x14ac:dyDescent="0.25">
      <c r="A995">
        <f>IF(AND(Sheet2!B995=Sheet1!B$19,Sheet2!C995=Sheet1!C$19,Sheet2!D995=Sheet1!D$19),1,0)</f>
        <v>0</v>
      </c>
      <c r="B995" s="10" t="s">
        <v>158</v>
      </c>
      <c r="C995" s="11">
        <v>0.75</v>
      </c>
      <c r="D995" s="22">
        <v>13</v>
      </c>
      <c r="E995" s="22">
        <v>11241</v>
      </c>
      <c r="F995" s="10" t="s">
        <v>74</v>
      </c>
      <c r="G995" s="10" t="str">
        <f t="shared" si="7"/>
        <v>11241A</v>
      </c>
    </row>
    <row r="996" spans="1:7" x14ac:dyDescent="0.25">
      <c r="A996">
        <f>IF(AND(Sheet2!B996=Sheet1!B$19,Sheet2!C996=Sheet1!C$19,Sheet2!D996=Sheet1!D$19),1,0)</f>
        <v>0</v>
      </c>
      <c r="B996" s="10" t="s">
        <v>158</v>
      </c>
      <c r="C996" s="11">
        <v>0.75</v>
      </c>
      <c r="D996" s="22">
        <v>14</v>
      </c>
      <c r="E996" s="22">
        <v>11242</v>
      </c>
      <c r="F996" s="10" t="s">
        <v>74</v>
      </c>
      <c r="G996" s="10" t="str">
        <f t="shared" si="7"/>
        <v>11242A</v>
      </c>
    </row>
    <row r="997" spans="1:7" x14ac:dyDescent="0.25">
      <c r="A997">
        <f>IF(AND(Sheet2!B997=Sheet1!B$19,Sheet2!C997=Sheet1!C$19,Sheet2!D997=Sheet1!D$19),1,0)</f>
        <v>0</v>
      </c>
      <c r="B997" s="10" t="s">
        <v>158</v>
      </c>
      <c r="C997" s="11">
        <v>0.75</v>
      </c>
      <c r="D997" s="22">
        <v>15</v>
      </c>
      <c r="E997" s="22">
        <v>11243</v>
      </c>
      <c r="F997" s="10" t="s">
        <v>74</v>
      </c>
      <c r="G997" s="10" t="str">
        <f t="shared" si="7"/>
        <v>11243A</v>
      </c>
    </row>
    <row r="998" spans="1:7" x14ac:dyDescent="0.25">
      <c r="A998">
        <f>IF(AND(Sheet2!B998=Sheet1!B$19,Sheet2!C998=Sheet1!C$19,Sheet2!D998=Sheet1!D$19),1,0)</f>
        <v>0</v>
      </c>
      <c r="B998" s="10" t="s">
        <v>158</v>
      </c>
      <c r="C998" s="11">
        <v>0.75</v>
      </c>
      <c r="D998" s="22">
        <v>16</v>
      </c>
      <c r="E998" s="22">
        <v>11244</v>
      </c>
      <c r="F998" s="10" t="s">
        <v>74</v>
      </c>
      <c r="G998" s="10" t="str">
        <f t="shared" si="7"/>
        <v>11244A</v>
      </c>
    </row>
    <row r="999" spans="1:7" x14ac:dyDescent="0.25">
      <c r="A999">
        <f>IF(AND(Sheet2!B999=Sheet1!B$19,Sheet2!C999=Sheet1!C$19,Sheet2!D999=Sheet1!D$19),1,0)</f>
        <v>0</v>
      </c>
      <c r="B999" s="10" t="s">
        <v>158</v>
      </c>
      <c r="C999" s="11">
        <v>0.75</v>
      </c>
      <c r="D999" s="22">
        <v>17</v>
      </c>
      <c r="E999" s="22">
        <v>11245</v>
      </c>
      <c r="F999" s="10" t="s">
        <v>74</v>
      </c>
      <c r="G999" s="10" t="str">
        <f t="shared" si="7"/>
        <v>11245A</v>
      </c>
    </row>
    <row r="1000" spans="1:7" x14ac:dyDescent="0.25">
      <c r="A1000">
        <f>IF(AND(Sheet2!B1000=Sheet1!B$19,Sheet2!C1000=Sheet1!C$19,Sheet2!D1000=Sheet1!D$19),1,0)</f>
        <v>0</v>
      </c>
      <c r="B1000" s="10" t="s">
        <v>158</v>
      </c>
      <c r="C1000" s="11">
        <v>0.75</v>
      </c>
      <c r="D1000" s="22">
        <v>18</v>
      </c>
      <c r="E1000" s="22">
        <v>11246</v>
      </c>
      <c r="F1000" s="10" t="s">
        <v>74</v>
      </c>
      <c r="G1000" s="10" t="str">
        <f t="shared" si="7"/>
        <v>11246A</v>
      </c>
    </row>
    <row r="1001" spans="1:7" x14ac:dyDescent="0.25">
      <c r="A1001">
        <f>IF(AND(Sheet2!B1001=Sheet1!B$19,Sheet2!C1001=Sheet1!C$19,Sheet2!D1001=Sheet1!D$19),1,0)</f>
        <v>0</v>
      </c>
      <c r="B1001" s="10" t="s">
        <v>158</v>
      </c>
      <c r="C1001" s="11">
        <v>0.75</v>
      </c>
      <c r="D1001" s="22">
        <v>19</v>
      </c>
      <c r="E1001" s="22">
        <v>11247</v>
      </c>
      <c r="F1001" s="10" t="s">
        <v>74</v>
      </c>
      <c r="G1001" s="10" t="str">
        <f t="shared" si="7"/>
        <v>11247A</v>
      </c>
    </row>
    <row r="1002" spans="1:7" x14ac:dyDescent="0.25">
      <c r="A1002">
        <f>IF(AND(Sheet2!B1002=Sheet1!B$19,Sheet2!C1002=Sheet1!C$19,Sheet2!D1002=Sheet1!D$19),1,0)</f>
        <v>0</v>
      </c>
      <c r="B1002" s="10" t="s">
        <v>158</v>
      </c>
      <c r="C1002" s="11">
        <v>0.75</v>
      </c>
      <c r="D1002" s="22">
        <v>20</v>
      </c>
      <c r="E1002" s="22">
        <v>11248</v>
      </c>
      <c r="F1002" s="10" t="s">
        <v>74</v>
      </c>
      <c r="G1002" s="10" t="str">
        <f t="shared" si="7"/>
        <v>11248A</v>
      </c>
    </row>
    <row r="1003" spans="1:7" x14ac:dyDescent="0.25">
      <c r="A1003">
        <f>IF(AND(Sheet2!B1003=Sheet1!B$19,Sheet2!C1003=Sheet1!C$19,Sheet2!D1003=Sheet1!D$19),1,0)</f>
        <v>0</v>
      </c>
      <c r="B1003" s="10" t="s">
        <v>158</v>
      </c>
      <c r="C1003" s="11">
        <v>0.75</v>
      </c>
      <c r="D1003" s="22">
        <v>21</v>
      </c>
      <c r="E1003" s="22">
        <v>11666</v>
      </c>
      <c r="F1003" s="10" t="s">
        <v>74</v>
      </c>
      <c r="G1003" s="10" t="str">
        <f t="shared" si="7"/>
        <v>11666A</v>
      </c>
    </row>
    <row r="1004" spans="1:7" x14ac:dyDescent="0.25">
      <c r="A1004">
        <f>IF(AND(Sheet2!B1004=Sheet1!B$19,Sheet2!C1004=Sheet1!C$19,Sheet2!D1004=Sheet1!D$19),1,0)</f>
        <v>0</v>
      </c>
      <c r="B1004" s="10" t="s">
        <v>158</v>
      </c>
      <c r="C1004" s="11">
        <v>0.75</v>
      </c>
      <c r="D1004" s="22">
        <v>22</v>
      </c>
      <c r="E1004" s="22">
        <v>11667</v>
      </c>
      <c r="F1004" s="10" t="s">
        <v>74</v>
      </c>
      <c r="G1004" s="10" t="str">
        <f t="shared" si="7"/>
        <v>11667A</v>
      </c>
    </row>
    <row r="1005" spans="1:7" x14ac:dyDescent="0.25">
      <c r="A1005">
        <f>IF(AND(Sheet2!B1005=Sheet1!B$19,Sheet2!C1005=Sheet1!C$19,Sheet2!D1005=Sheet1!D$19),1,0)</f>
        <v>0</v>
      </c>
      <c r="B1005" s="10" t="s">
        <v>158</v>
      </c>
      <c r="C1005" s="11">
        <v>0.75</v>
      </c>
      <c r="D1005" s="22">
        <v>23</v>
      </c>
      <c r="E1005" s="22">
        <v>11668</v>
      </c>
      <c r="F1005" s="10" t="s">
        <v>74</v>
      </c>
      <c r="G1005" s="10" t="str">
        <f t="shared" si="7"/>
        <v>11668A</v>
      </c>
    </row>
    <row r="1006" spans="1:7" x14ac:dyDescent="0.25">
      <c r="A1006">
        <f>IF(AND(Sheet2!B1006=Sheet1!B$19,Sheet2!C1006=Sheet1!C$19,Sheet2!D1006=Sheet1!D$19),1,0)</f>
        <v>0</v>
      </c>
      <c r="B1006" s="10" t="s">
        <v>158</v>
      </c>
      <c r="C1006" s="11">
        <v>0.75</v>
      </c>
      <c r="D1006" s="22">
        <v>24</v>
      </c>
      <c r="E1006" s="22">
        <v>11669</v>
      </c>
      <c r="F1006" s="10" t="s">
        <v>74</v>
      </c>
      <c r="G1006" s="10" t="str">
        <f t="shared" si="7"/>
        <v>11669A</v>
      </c>
    </row>
    <row r="1007" spans="1:7" x14ac:dyDescent="0.25">
      <c r="A1007">
        <f>IF(AND(Sheet2!B1007=Sheet1!B$19,Sheet2!C1007=Sheet1!C$19,Sheet2!D1007=Sheet1!D$19),1,0)</f>
        <v>0</v>
      </c>
      <c r="B1007" s="10" t="s">
        <v>158</v>
      </c>
      <c r="C1007" s="11">
        <v>0.75</v>
      </c>
      <c r="D1007" s="22">
        <v>25</v>
      </c>
      <c r="E1007" s="22">
        <v>11670</v>
      </c>
      <c r="F1007" s="10" t="s">
        <v>74</v>
      </c>
      <c r="G1007" s="10" t="str">
        <f t="shared" si="7"/>
        <v>11670A</v>
      </c>
    </row>
    <row r="1008" spans="1:7" x14ac:dyDescent="0.25">
      <c r="A1008">
        <f>IF(AND(Sheet2!B1008=Sheet1!B$19,Sheet2!C1008=Sheet1!C$19,Sheet2!D1008=Sheet1!D$19),1,0)</f>
        <v>0</v>
      </c>
      <c r="B1008" s="10" t="s">
        <v>158</v>
      </c>
      <c r="C1008" s="11">
        <v>0.75</v>
      </c>
      <c r="D1008" s="22">
        <v>26</v>
      </c>
      <c r="E1008" s="22">
        <v>11671</v>
      </c>
      <c r="F1008" s="10" t="s">
        <v>74</v>
      </c>
      <c r="G1008" s="10" t="str">
        <f t="shared" si="7"/>
        <v>11671A</v>
      </c>
    </row>
    <row r="1009" spans="1:7" x14ac:dyDescent="0.25">
      <c r="A1009">
        <f>IF(AND(Sheet2!B1009=Sheet1!B$19,Sheet2!C1009=Sheet1!C$19,Sheet2!D1009=Sheet1!D$19),1,0)</f>
        <v>0</v>
      </c>
      <c r="B1009" s="10" t="s">
        <v>158</v>
      </c>
      <c r="C1009" s="11">
        <v>0.75</v>
      </c>
      <c r="D1009" s="22">
        <v>27</v>
      </c>
      <c r="E1009" s="22">
        <v>11672</v>
      </c>
      <c r="F1009" s="10" t="s">
        <v>74</v>
      </c>
      <c r="G1009" s="10" t="str">
        <f t="shared" si="7"/>
        <v>11672A</v>
      </c>
    </row>
    <row r="1010" spans="1:7" x14ac:dyDescent="0.25">
      <c r="A1010">
        <f>IF(AND(Sheet2!B1010=Sheet1!B$19,Sheet2!C1010=Sheet1!C$19,Sheet2!D1010=Sheet1!D$19),1,0)</f>
        <v>0</v>
      </c>
      <c r="B1010" s="10" t="s">
        <v>158</v>
      </c>
      <c r="C1010" s="11">
        <v>0.75</v>
      </c>
      <c r="D1010" s="22">
        <v>28</v>
      </c>
      <c r="E1010" s="22">
        <v>11673</v>
      </c>
      <c r="F1010" s="10" t="s">
        <v>74</v>
      </c>
      <c r="G1010" s="10" t="str">
        <f t="shared" si="7"/>
        <v>11673A</v>
      </c>
    </row>
    <row r="1011" spans="1:7" x14ac:dyDescent="0.25">
      <c r="A1011">
        <f>IF(AND(Sheet2!B1011=Sheet1!B$19,Sheet2!C1011=Sheet1!C$19,Sheet2!D1011=Sheet1!D$19),1,0)</f>
        <v>0</v>
      </c>
      <c r="B1011" s="10" t="s">
        <v>158</v>
      </c>
      <c r="C1011" s="11">
        <v>0.75</v>
      </c>
      <c r="D1011" s="22">
        <v>29</v>
      </c>
      <c r="E1011" s="22">
        <v>11674</v>
      </c>
      <c r="F1011" s="10" t="s">
        <v>74</v>
      </c>
      <c r="G1011" s="10" t="str">
        <f t="shared" si="7"/>
        <v>11674A</v>
      </c>
    </row>
    <row r="1012" spans="1:7" x14ac:dyDescent="0.25">
      <c r="A1012">
        <f>IF(AND(Sheet2!B1012=Sheet1!B$19,Sheet2!C1012=Sheet1!C$19,Sheet2!D1012=Sheet1!D$19),1,0)</f>
        <v>0</v>
      </c>
      <c r="B1012" s="10" t="s">
        <v>158</v>
      </c>
      <c r="C1012" s="11">
        <v>0.75</v>
      </c>
      <c r="D1012" s="22">
        <v>30</v>
      </c>
      <c r="E1012" s="22">
        <v>11675</v>
      </c>
      <c r="F1012" s="10" t="s">
        <v>74</v>
      </c>
      <c r="G1012" s="10" t="str">
        <f t="shared" si="7"/>
        <v>11675A</v>
      </c>
    </row>
    <row r="1013" spans="1:7" x14ac:dyDescent="0.25">
      <c r="A1013">
        <f>IF(AND(Sheet2!B1013=Sheet1!B$19,Sheet2!C1013=Sheet1!C$19,Sheet2!D1013=Sheet1!D$19),1,0)</f>
        <v>0</v>
      </c>
      <c r="B1013" s="10" t="s">
        <v>158</v>
      </c>
      <c r="C1013" s="11">
        <v>0.75</v>
      </c>
      <c r="D1013" s="22">
        <v>31</v>
      </c>
      <c r="E1013" s="22">
        <v>11676</v>
      </c>
      <c r="F1013" s="10" t="s">
        <v>74</v>
      </c>
      <c r="G1013" s="10" t="str">
        <f t="shared" si="7"/>
        <v>11676A</v>
      </c>
    </row>
    <row r="1014" spans="1:7" x14ac:dyDescent="0.25">
      <c r="A1014">
        <f>IF(AND(Sheet2!B1014=Sheet1!B$19,Sheet2!C1014=Sheet1!C$19,Sheet2!D1014=Sheet1!D$19),1,0)</f>
        <v>0</v>
      </c>
      <c r="B1014" s="10" t="s">
        <v>158</v>
      </c>
      <c r="C1014" s="11">
        <v>0.75</v>
      </c>
      <c r="D1014" s="22">
        <v>32</v>
      </c>
      <c r="E1014" s="22">
        <v>11677</v>
      </c>
      <c r="F1014" s="10" t="s">
        <v>74</v>
      </c>
      <c r="G1014" s="10" t="str">
        <f t="shared" si="7"/>
        <v>11677A</v>
      </c>
    </row>
    <row r="1015" spans="1:7" x14ac:dyDescent="0.25">
      <c r="A1015">
        <f>IF(AND(Sheet2!B1015=Sheet1!B$19,Sheet2!C1015=Sheet1!C$19,Sheet2!D1015=Sheet1!D$19),1,0)</f>
        <v>0</v>
      </c>
      <c r="B1015" s="10" t="s">
        <v>158</v>
      </c>
      <c r="C1015" s="11">
        <v>0.75</v>
      </c>
      <c r="D1015" s="22">
        <v>33</v>
      </c>
      <c r="E1015" s="22">
        <v>11678</v>
      </c>
      <c r="F1015" s="10" t="s">
        <v>74</v>
      </c>
      <c r="G1015" s="10" t="str">
        <f t="shared" si="7"/>
        <v>11678A</v>
      </c>
    </row>
    <row r="1016" spans="1:7" x14ac:dyDescent="0.25">
      <c r="A1016">
        <f>IF(AND(Sheet2!B1016=Sheet1!B$19,Sheet2!C1016=Sheet1!C$19,Sheet2!D1016=Sheet1!D$19),1,0)</f>
        <v>0</v>
      </c>
      <c r="B1016" s="10" t="s">
        <v>158</v>
      </c>
      <c r="C1016" s="11">
        <v>0.75</v>
      </c>
      <c r="D1016" s="22">
        <v>34</v>
      </c>
      <c r="E1016" s="22">
        <v>11679</v>
      </c>
      <c r="F1016" s="10" t="s">
        <v>74</v>
      </c>
      <c r="G1016" s="10" t="str">
        <f t="shared" si="7"/>
        <v>11679A</v>
      </c>
    </row>
    <row r="1017" spans="1:7" x14ac:dyDescent="0.25">
      <c r="A1017">
        <f>IF(AND(Sheet2!B1017=Sheet1!B$19,Sheet2!C1017=Sheet1!C$19,Sheet2!D1017=Sheet1!D$19),1,0)</f>
        <v>0</v>
      </c>
      <c r="B1017" s="10" t="s">
        <v>158</v>
      </c>
      <c r="C1017" s="11">
        <v>0.75</v>
      </c>
      <c r="D1017" s="22">
        <v>35</v>
      </c>
      <c r="E1017" s="22">
        <v>11680</v>
      </c>
      <c r="F1017" s="10" t="s">
        <v>74</v>
      </c>
      <c r="G1017" s="10" t="str">
        <f t="shared" si="7"/>
        <v>11680A</v>
      </c>
    </row>
    <row r="1018" spans="1:7" x14ac:dyDescent="0.25">
      <c r="A1018">
        <f>IF(AND(Sheet2!B1018=Sheet1!B$19,Sheet2!C1018=Sheet1!C$19,Sheet2!D1018=Sheet1!D$19),1,0)</f>
        <v>0</v>
      </c>
      <c r="B1018" s="10" t="s">
        <v>158</v>
      </c>
      <c r="C1018" s="11">
        <v>0.75</v>
      </c>
      <c r="D1018" s="22">
        <v>36</v>
      </c>
      <c r="E1018" s="22">
        <v>11681</v>
      </c>
      <c r="F1018" s="10" t="s">
        <v>74</v>
      </c>
      <c r="G1018" s="10" t="str">
        <f t="shared" si="7"/>
        <v>11681A</v>
      </c>
    </row>
    <row r="1019" spans="1:7" x14ac:dyDescent="0.25">
      <c r="A1019">
        <f>IF(AND(Sheet2!B1019=Sheet1!B$19,Sheet2!C1019=Sheet1!C$19,Sheet2!D1019=Sheet1!D$19),1,0)</f>
        <v>0</v>
      </c>
      <c r="B1019" s="10" t="s">
        <v>158</v>
      </c>
      <c r="C1019" s="11">
        <v>0.75</v>
      </c>
      <c r="D1019" s="22">
        <v>37</v>
      </c>
      <c r="E1019" s="22">
        <v>11682</v>
      </c>
      <c r="F1019" s="10" t="s">
        <v>74</v>
      </c>
      <c r="G1019" s="10" t="str">
        <f t="shared" si="7"/>
        <v>11682A</v>
      </c>
    </row>
    <row r="1020" spans="1:7" x14ac:dyDescent="0.25">
      <c r="A1020">
        <f>IF(AND(Sheet2!B1020=Sheet1!B$19,Sheet2!C1020=Sheet1!C$19,Sheet2!D1020=Sheet1!D$19),1,0)</f>
        <v>0</v>
      </c>
      <c r="B1020" s="10" t="s">
        <v>158</v>
      </c>
      <c r="C1020" s="11">
        <v>0.75</v>
      </c>
      <c r="D1020" s="22">
        <v>38</v>
      </c>
      <c r="E1020" s="22">
        <v>11683</v>
      </c>
      <c r="F1020" s="10" t="s">
        <v>74</v>
      </c>
      <c r="G1020" s="10" t="str">
        <f t="shared" si="7"/>
        <v>11683A</v>
      </c>
    </row>
    <row r="1021" spans="1:7" x14ac:dyDescent="0.25">
      <c r="A1021">
        <f>IF(AND(Sheet2!B1021=Sheet1!B$19,Sheet2!C1021=Sheet1!C$19,Sheet2!D1021=Sheet1!D$19),1,0)</f>
        <v>0</v>
      </c>
      <c r="B1021" s="10" t="s">
        <v>158</v>
      </c>
      <c r="C1021" s="11">
        <v>0.75</v>
      </c>
      <c r="D1021" s="22">
        <v>39</v>
      </c>
      <c r="E1021" s="22">
        <v>11684</v>
      </c>
      <c r="F1021" s="10" t="s">
        <v>74</v>
      </c>
      <c r="G1021" s="10" t="str">
        <f t="shared" si="7"/>
        <v>11684A</v>
      </c>
    </row>
    <row r="1022" spans="1:7" x14ac:dyDescent="0.25">
      <c r="A1022">
        <f>IF(AND(Sheet2!B1022=Sheet1!B$19,Sheet2!C1022=Sheet1!C$19,Sheet2!D1022=Sheet1!D$19),1,0)</f>
        <v>0</v>
      </c>
      <c r="B1022" s="10" t="s">
        <v>158</v>
      </c>
      <c r="C1022" s="11">
        <v>0.75</v>
      </c>
      <c r="D1022" s="22">
        <v>40</v>
      </c>
      <c r="E1022" s="22">
        <v>11685</v>
      </c>
      <c r="F1022" s="10" t="s">
        <v>74</v>
      </c>
      <c r="G1022" s="10" t="str">
        <f t="shared" si="7"/>
        <v>11685A</v>
      </c>
    </row>
    <row r="1023" spans="1:7" x14ac:dyDescent="0.25">
      <c r="A1023">
        <f>IF(AND(Sheet2!B1023=Sheet1!B$19,Sheet2!C1023=Sheet1!C$19,Sheet2!D1023=Sheet1!D$19),1,0)</f>
        <v>0</v>
      </c>
      <c r="B1023" s="10" t="s">
        <v>158</v>
      </c>
      <c r="C1023" s="11">
        <v>0.75</v>
      </c>
      <c r="D1023" s="22">
        <v>41</v>
      </c>
      <c r="E1023" s="22">
        <v>11686</v>
      </c>
      <c r="F1023" s="10" t="s">
        <v>74</v>
      </c>
      <c r="G1023" s="10" t="str">
        <f t="shared" si="7"/>
        <v>11686A</v>
      </c>
    </row>
    <row r="1024" spans="1:7" x14ac:dyDescent="0.25">
      <c r="A1024">
        <f>IF(AND(Sheet2!B1024=Sheet1!B$19,Sheet2!C1024=Sheet1!C$19,Sheet2!D1024=Sheet1!D$19),1,0)</f>
        <v>0</v>
      </c>
      <c r="B1024" s="10" t="s">
        <v>158</v>
      </c>
      <c r="C1024" s="11">
        <v>0.75</v>
      </c>
      <c r="D1024" s="22">
        <v>42</v>
      </c>
      <c r="E1024" s="22">
        <v>11687</v>
      </c>
      <c r="F1024" s="10" t="s">
        <v>74</v>
      </c>
      <c r="G1024" s="10" t="str">
        <f t="shared" si="7"/>
        <v>11687A</v>
      </c>
    </row>
    <row r="1025" spans="1:7" x14ac:dyDescent="0.25">
      <c r="A1025">
        <f>IF(AND(Sheet2!B1025=Sheet1!B$19,Sheet2!C1025=Sheet1!C$19,Sheet2!D1025=Sheet1!D$19),1,0)</f>
        <v>0</v>
      </c>
      <c r="B1025" s="10" t="s">
        <v>158</v>
      </c>
      <c r="C1025" s="11">
        <v>0.75</v>
      </c>
      <c r="D1025" s="22">
        <v>43</v>
      </c>
      <c r="E1025" s="22">
        <v>11688</v>
      </c>
      <c r="F1025" s="10" t="s">
        <v>74</v>
      </c>
      <c r="G1025" s="10" t="str">
        <f t="shared" si="7"/>
        <v>11688A</v>
      </c>
    </row>
    <row r="1026" spans="1:7" x14ac:dyDescent="0.25">
      <c r="A1026">
        <f>IF(AND(Sheet2!B1026=Sheet1!B$19,Sheet2!C1026=Sheet1!C$19,Sheet2!D1026=Sheet1!D$19),1,0)</f>
        <v>0</v>
      </c>
      <c r="B1026" s="10" t="s">
        <v>158</v>
      </c>
      <c r="C1026" s="11">
        <v>0.75</v>
      </c>
      <c r="D1026" s="22">
        <v>44</v>
      </c>
      <c r="E1026" s="22">
        <v>11689</v>
      </c>
      <c r="F1026" s="10" t="s">
        <v>74</v>
      </c>
      <c r="G1026" s="10" t="str">
        <f t="shared" ref="G1026:G1089" si="8">CONCATENATE(E1026,F1026)</f>
        <v>11689A</v>
      </c>
    </row>
    <row r="1027" spans="1:7" x14ac:dyDescent="0.25">
      <c r="A1027">
        <f>IF(AND(Sheet2!B1027=Sheet1!B$19,Sheet2!C1027=Sheet1!C$19,Sheet2!D1027=Sheet1!D$19),1,0)</f>
        <v>0</v>
      </c>
      <c r="B1027" s="10" t="s">
        <v>158</v>
      </c>
      <c r="C1027" s="11">
        <v>0.75</v>
      </c>
      <c r="D1027" s="22">
        <v>45</v>
      </c>
      <c r="E1027" s="22">
        <v>11690</v>
      </c>
      <c r="F1027" s="10" t="s">
        <v>74</v>
      </c>
      <c r="G1027" s="10" t="str">
        <f t="shared" si="8"/>
        <v>11690A</v>
      </c>
    </row>
    <row r="1028" spans="1:7" x14ac:dyDescent="0.25">
      <c r="A1028">
        <f>IF(AND(Sheet2!B1028=Sheet1!B$19,Sheet2!C1028=Sheet1!C$19,Sheet2!D1028=Sheet1!D$19),1,0)</f>
        <v>0</v>
      </c>
      <c r="B1028" s="10" t="s">
        <v>158</v>
      </c>
      <c r="C1028" s="11">
        <v>0.75</v>
      </c>
      <c r="D1028" s="22">
        <v>46</v>
      </c>
      <c r="E1028" s="22">
        <v>11691</v>
      </c>
      <c r="F1028" s="10" t="s">
        <v>74</v>
      </c>
      <c r="G1028" s="10" t="str">
        <f t="shared" si="8"/>
        <v>11691A</v>
      </c>
    </row>
    <row r="1029" spans="1:7" x14ac:dyDescent="0.25">
      <c r="A1029">
        <f>IF(AND(Sheet2!B1029=Sheet1!B$19,Sheet2!C1029=Sheet1!C$19,Sheet2!D1029=Sheet1!D$19),1,0)</f>
        <v>0</v>
      </c>
      <c r="B1029" s="10" t="s">
        <v>158</v>
      </c>
      <c r="C1029" s="11">
        <v>0.75</v>
      </c>
      <c r="D1029" s="22">
        <v>47</v>
      </c>
      <c r="E1029" s="22">
        <v>11692</v>
      </c>
      <c r="F1029" s="10" t="s">
        <v>74</v>
      </c>
      <c r="G1029" s="10" t="str">
        <f t="shared" si="8"/>
        <v>11692A</v>
      </c>
    </row>
    <row r="1030" spans="1:7" x14ac:dyDescent="0.25">
      <c r="A1030">
        <f>IF(AND(Sheet2!B1030=Sheet1!B$19,Sheet2!C1030=Sheet1!C$19,Sheet2!D1030=Sheet1!D$19),1,0)</f>
        <v>0</v>
      </c>
      <c r="B1030" s="10" t="s">
        <v>158</v>
      </c>
      <c r="C1030" s="11">
        <v>0.75</v>
      </c>
      <c r="D1030" s="22">
        <v>48</v>
      </c>
      <c r="E1030" s="22">
        <v>11693</v>
      </c>
      <c r="F1030" s="10" t="s">
        <v>74</v>
      </c>
      <c r="G1030" s="10" t="str">
        <f t="shared" si="8"/>
        <v>11693A</v>
      </c>
    </row>
    <row r="1031" spans="1:7" x14ac:dyDescent="0.25">
      <c r="A1031">
        <f>IF(AND(Sheet2!B1031=Sheet1!B$19,Sheet2!C1031=Sheet1!C$19,Sheet2!D1031=Sheet1!D$19),1,0)</f>
        <v>0</v>
      </c>
      <c r="B1031" s="10" t="s">
        <v>158</v>
      </c>
      <c r="C1031" s="11">
        <v>0.75</v>
      </c>
      <c r="D1031" s="22">
        <v>49</v>
      </c>
      <c r="E1031" s="22">
        <v>11694</v>
      </c>
      <c r="F1031" s="10" t="s">
        <v>74</v>
      </c>
      <c r="G1031" s="10" t="str">
        <f t="shared" si="8"/>
        <v>11694A</v>
      </c>
    </row>
    <row r="1032" spans="1:7" x14ac:dyDescent="0.25">
      <c r="A1032">
        <f>IF(AND(Sheet2!B1032=Sheet1!B$19,Sheet2!C1032=Sheet1!C$19,Sheet2!D1032=Sheet1!D$19),1,0)</f>
        <v>0</v>
      </c>
      <c r="B1032" s="10" t="s">
        <v>158</v>
      </c>
      <c r="C1032" s="11">
        <v>0.75</v>
      </c>
      <c r="D1032" s="22">
        <v>50</v>
      </c>
      <c r="E1032" s="22">
        <v>11695</v>
      </c>
      <c r="F1032" s="10" t="s">
        <v>74</v>
      </c>
      <c r="G1032" s="10" t="str">
        <f t="shared" si="8"/>
        <v>11695A</v>
      </c>
    </row>
    <row r="1033" spans="1:7" x14ac:dyDescent="0.25">
      <c r="A1033">
        <f>IF(AND(Sheet2!B1033=Sheet1!B$19,Sheet2!C1033=Sheet1!C$19,Sheet2!D1033=Sheet1!D$19),1,0)</f>
        <v>0</v>
      </c>
      <c r="B1033" s="10" t="s">
        <v>158</v>
      </c>
      <c r="C1033" s="11">
        <v>0.75</v>
      </c>
      <c r="D1033" s="22">
        <v>51</v>
      </c>
      <c r="E1033" s="22">
        <v>11696</v>
      </c>
      <c r="F1033" s="10" t="s">
        <v>74</v>
      </c>
      <c r="G1033" s="10" t="str">
        <f t="shared" si="8"/>
        <v>11696A</v>
      </c>
    </row>
    <row r="1034" spans="1:7" x14ac:dyDescent="0.25">
      <c r="A1034">
        <f>IF(AND(Sheet2!B1034=Sheet1!B$19,Sheet2!C1034=Sheet1!C$19,Sheet2!D1034=Sheet1!D$19),1,0)</f>
        <v>0</v>
      </c>
      <c r="B1034" s="10" t="s">
        <v>158</v>
      </c>
      <c r="C1034" s="11">
        <v>0.75</v>
      </c>
      <c r="D1034" s="22">
        <v>52</v>
      </c>
      <c r="E1034" s="22">
        <v>11697</v>
      </c>
      <c r="F1034" s="10" t="s">
        <v>74</v>
      </c>
      <c r="G1034" s="10" t="str">
        <f t="shared" si="8"/>
        <v>11697A</v>
      </c>
    </row>
    <row r="1035" spans="1:7" x14ac:dyDescent="0.25">
      <c r="A1035">
        <f>IF(AND(Sheet2!B1035=Sheet1!B$19,Sheet2!C1035=Sheet1!C$19,Sheet2!D1035=Sheet1!D$19),1,0)</f>
        <v>0</v>
      </c>
      <c r="B1035" s="10" t="s">
        <v>158</v>
      </c>
      <c r="C1035" s="11">
        <v>0.75</v>
      </c>
      <c r="D1035" s="22">
        <v>53</v>
      </c>
      <c r="E1035" s="22">
        <v>11698</v>
      </c>
      <c r="F1035" s="10" t="s">
        <v>74</v>
      </c>
      <c r="G1035" s="10" t="str">
        <f t="shared" si="8"/>
        <v>11698A</v>
      </c>
    </row>
    <row r="1036" spans="1:7" x14ac:dyDescent="0.25">
      <c r="A1036">
        <f>IF(AND(Sheet2!B1036=Sheet1!B$19,Sheet2!C1036=Sheet1!C$19,Sheet2!D1036=Sheet1!D$19),1,0)</f>
        <v>0</v>
      </c>
      <c r="B1036" s="10" t="s">
        <v>158</v>
      </c>
      <c r="C1036" s="11">
        <v>0.75</v>
      </c>
      <c r="D1036" s="22">
        <v>54</v>
      </c>
      <c r="E1036" s="22">
        <v>11699</v>
      </c>
      <c r="F1036" s="10" t="s">
        <v>74</v>
      </c>
      <c r="G1036" s="10" t="str">
        <f t="shared" si="8"/>
        <v>11699A</v>
      </c>
    </row>
    <row r="1037" spans="1:7" x14ac:dyDescent="0.25">
      <c r="A1037">
        <f>IF(AND(Sheet2!B1037=Sheet1!B$19,Sheet2!C1037=Sheet1!C$19,Sheet2!D1037=Sheet1!D$19),1,0)</f>
        <v>0</v>
      </c>
      <c r="B1037" s="10" t="s">
        <v>158</v>
      </c>
      <c r="C1037" s="11">
        <v>0.75</v>
      </c>
      <c r="D1037" s="22">
        <v>55</v>
      </c>
      <c r="E1037" s="22">
        <v>11700</v>
      </c>
      <c r="F1037" s="10" t="s">
        <v>74</v>
      </c>
      <c r="G1037" s="10" t="str">
        <f t="shared" si="8"/>
        <v>11700A</v>
      </c>
    </row>
    <row r="1038" spans="1:7" x14ac:dyDescent="0.25">
      <c r="A1038">
        <f>IF(AND(Sheet2!B1038=Sheet1!B$19,Sheet2!C1038=Sheet1!C$19,Sheet2!D1038=Sheet1!D$19),1,0)</f>
        <v>0</v>
      </c>
      <c r="B1038" s="10" t="s">
        <v>158</v>
      </c>
      <c r="C1038" s="11">
        <v>0.75</v>
      </c>
      <c r="D1038" s="22">
        <v>56</v>
      </c>
      <c r="E1038" s="22">
        <v>11701</v>
      </c>
      <c r="F1038" s="10" t="s">
        <v>74</v>
      </c>
      <c r="G1038" s="10" t="str">
        <f t="shared" si="8"/>
        <v>11701A</v>
      </c>
    </row>
    <row r="1039" spans="1:7" x14ac:dyDescent="0.25">
      <c r="A1039">
        <f>IF(AND(Sheet2!B1039=Sheet1!B$19,Sheet2!C1039=Sheet1!C$19,Sheet2!D1039=Sheet1!D$19),1,0)</f>
        <v>0</v>
      </c>
      <c r="B1039" s="10" t="s">
        <v>158</v>
      </c>
      <c r="C1039" s="11">
        <v>0.75</v>
      </c>
      <c r="D1039" s="22">
        <v>57</v>
      </c>
      <c r="E1039" s="22">
        <v>11702</v>
      </c>
      <c r="F1039" s="10" t="s">
        <v>74</v>
      </c>
      <c r="G1039" s="10" t="str">
        <f t="shared" si="8"/>
        <v>11702A</v>
      </c>
    </row>
    <row r="1040" spans="1:7" x14ac:dyDescent="0.25">
      <c r="A1040">
        <f>IF(AND(Sheet2!B1040=Sheet1!B$19,Sheet2!C1040=Sheet1!C$19,Sheet2!D1040=Sheet1!D$19),1,0)</f>
        <v>0</v>
      </c>
      <c r="B1040" s="10" t="s">
        <v>158</v>
      </c>
      <c r="C1040" s="11">
        <v>0.75</v>
      </c>
      <c r="D1040" s="22">
        <v>58</v>
      </c>
      <c r="E1040" s="22">
        <v>11703</v>
      </c>
      <c r="F1040" s="10" t="s">
        <v>74</v>
      </c>
      <c r="G1040" s="10" t="str">
        <f t="shared" si="8"/>
        <v>11703A</v>
      </c>
    </row>
    <row r="1041" spans="1:7" x14ac:dyDescent="0.25">
      <c r="A1041">
        <f>IF(AND(Sheet2!B1041=Sheet1!B$19,Sheet2!C1041=Sheet1!C$19,Sheet2!D1041=Sheet1!D$19),1,0)</f>
        <v>0</v>
      </c>
      <c r="B1041" s="10" t="s">
        <v>158</v>
      </c>
      <c r="C1041" s="11">
        <v>0.75</v>
      </c>
      <c r="D1041" s="22">
        <v>59</v>
      </c>
      <c r="E1041" s="22">
        <v>11704</v>
      </c>
      <c r="F1041" s="10" t="s">
        <v>74</v>
      </c>
      <c r="G1041" s="10" t="str">
        <f t="shared" si="8"/>
        <v>11704A</v>
      </c>
    </row>
    <row r="1042" spans="1:7" x14ac:dyDescent="0.25">
      <c r="A1042">
        <f>IF(AND(Sheet2!B1042=Sheet1!B$19,Sheet2!C1042=Sheet1!C$19,Sheet2!D1042=Sheet1!D$19),1,0)</f>
        <v>0</v>
      </c>
      <c r="B1042" s="10" t="s">
        <v>158</v>
      </c>
      <c r="C1042" s="11">
        <v>0.75</v>
      </c>
      <c r="D1042" s="22">
        <v>60</v>
      </c>
      <c r="E1042" s="22">
        <v>11705</v>
      </c>
      <c r="F1042" s="10" t="s">
        <v>74</v>
      </c>
      <c r="G1042" s="10" t="str">
        <f t="shared" si="8"/>
        <v>11705A</v>
      </c>
    </row>
    <row r="1043" spans="1:7" x14ac:dyDescent="0.25">
      <c r="A1043">
        <f>IF(AND(Sheet2!B1043=Sheet1!B$19,Sheet2!C1043=Sheet1!C$19,Sheet2!D1043=Sheet1!D$19),1,0)</f>
        <v>0</v>
      </c>
      <c r="B1043" s="10" t="s">
        <v>158</v>
      </c>
      <c r="C1043" s="12">
        <v>1</v>
      </c>
      <c r="D1043" s="22">
        <v>2</v>
      </c>
      <c r="E1043" s="22">
        <v>11249</v>
      </c>
      <c r="F1043" s="10" t="s">
        <v>74</v>
      </c>
      <c r="G1043" s="10" t="str">
        <f t="shared" si="8"/>
        <v>11249A</v>
      </c>
    </row>
    <row r="1044" spans="1:7" x14ac:dyDescent="0.25">
      <c r="A1044">
        <f>IF(AND(Sheet2!B1044=Sheet1!B$19,Sheet2!C1044=Sheet1!C$19,Sheet2!D1044=Sheet1!D$19),1,0)</f>
        <v>0</v>
      </c>
      <c r="B1044" s="10" t="s">
        <v>158</v>
      </c>
      <c r="C1044" s="12">
        <v>1</v>
      </c>
      <c r="D1044" s="22">
        <v>3</v>
      </c>
      <c r="E1044" s="22">
        <v>11250</v>
      </c>
      <c r="F1044" s="10" t="s">
        <v>74</v>
      </c>
      <c r="G1044" s="10" t="str">
        <f t="shared" si="8"/>
        <v>11250A</v>
      </c>
    </row>
    <row r="1045" spans="1:7" x14ac:dyDescent="0.25">
      <c r="A1045">
        <f>IF(AND(Sheet2!B1045=Sheet1!B$19,Sheet2!C1045=Sheet1!C$19,Sheet2!D1045=Sheet1!D$19),1,0)</f>
        <v>0</v>
      </c>
      <c r="B1045" s="10" t="s">
        <v>158</v>
      </c>
      <c r="C1045" s="12">
        <v>1</v>
      </c>
      <c r="D1045" s="22">
        <v>4</v>
      </c>
      <c r="E1045" s="22">
        <v>11251</v>
      </c>
      <c r="F1045" s="10" t="s">
        <v>74</v>
      </c>
      <c r="G1045" s="10" t="str">
        <f t="shared" si="8"/>
        <v>11251A</v>
      </c>
    </row>
    <row r="1046" spans="1:7" x14ac:dyDescent="0.25">
      <c r="A1046">
        <f>IF(AND(Sheet2!B1046=Sheet1!B$19,Sheet2!C1046=Sheet1!C$19,Sheet2!D1046=Sheet1!D$19),1,0)</f>
        <v>0</v>
      </c>
      <c r="B1046" s="10" t="s">
        <v>158</v>
      </c>
      <c r="C1046" s="12">
        <v>1</v>
      </c>
      <c r="D1046" s="22">
        <v>5</v>
      </c>
      <c r="E1046" s="22">
        <v>11252</v>
      </c>
      <c r="F1046" s="10" t="s">
        <v>74</v>
      </c>
      <c r="G1046" s="10" t="str">
        <f t="shared" si="8"/>
        <v>11252A</v>
      </c>
    </row>
    <row r="1047" spans="1:7" x14ac:dyDescent="0.25">
      <c r="A1047">
        <f>IF(AND(Sheet2!B1047=Sheet1!B$19,Sheet2!C1047=Sheet1!C$19,Sheet2!D1047=Sheet1!D$19),1,0)</f>
        <v>0</v>
      </c>
      <c r="B1047" s="10" t="s">
        <v>158</v>
      </c>
      <c r="C1047" s="12">
        <v>1</v>
      </c>
      <c r="D1047" s="22">
        <v>6</v>
      </c>
      <c r="E1047" s="22">
        <v>11253</v>
      </c>
      <c r="F1047" s="10" t="s">
        <v>74</v>
      </c>
      <c r="G1047" s="10" t="str">
        <f t="shared" si="8"/>
        <v>11253A</v>
      </c>
    </row>
    <row r="1048" spans="1:7" x14ac:dyDescent="0.25">
      <c r="A1048">
        <f>IF(AND(Sheet2!B1048=Sheet1!B$19,Sheet2!C1048=Sheet1!C$19,Sheet2!D1048=Sheet1!D$19),1,0)</f>
        <v>0</v>
      </c>
      <c r="B1048" s="10" t="s">
        <v>158</v>
      </c>
      <c r="C1048" s="12">
        <v>1</v>
      </c>
      <c r="D1048" s="22">
        <v>7</v>
      </c>
      <c r="E1048" s="22">
        <v>11254</v>
      </c>
      <c r="F1048" s="10" t="s">
        <v>74</v>
      </c>
      <c r="G1048" s="10" t="str">
        <f t="shared" si="8"/>
        <v>11254A</v>
      </c>
    </row>
    <row r="1049" spans="1:7" x14ac:dyDescent="0.25">
      <c r="A1049">
        <f>IF(AND(Sheet2!B1049=Sheet1!B$19,Sheet2!C1049=Sheet1!C$19,Sheet2!D1049=Sheet1!D$19),1,0)</f>
        <v>0</v>
      </c>
      <c r="B1049" s="10" t="s">
        <v>158</v>
      </c>
      <c r="C1049" s="12">
        <v>1</v>
      </c>
      <c r="D1049" s="22">
        <v>8</v>
      </c>
      <c r="E1049" s="22">
        <v>11255</v>
      </c>
      <c r="F1049" s="10" t="s">
        <v>74</v>
      </c>
      <c r="G1049" s="10" t="str">
        <f t="shared" si="8"/>
        <v>11255A</v>
      </c>
    </row>
    <row r="1050" spans="1:7" x14ac:dyDescent="0.25">
      <c r="A1050">
        <f>IF(AND(Sheet2!B1050=Sheet1!B$19,Sheet2!C1050=Sheet1!C$19,Sheet2!D1050=Sheet1!D$19),1,0)</f>
        <v>0</v>
      </c>
      <c r="B1050" s="10" t="s">
        <v>158</v>
      </c>
      <c r="C1050" s="12">
        <v>1</v>
      </c>
      <c r="D1050" s="22">
        <v>9</v>
      </c>
      <c r="E1050" s="22">
        <v>11256</v>
      </c>
      <c r="F1050" s="10" t="s">
        <v>74</v>
      </c>
      <c r="G1050" s="10" t="str">
        <f t="shared" si="8"/>
        <v>11256A</v>
      </c>
    </row>
    <row r="1051" spans="1:7" x14ac:dyDescent="0.25">
      <c r="A1051">
        <f>IF(AND(Sheet2!B1051=Sheet1!B$19,Sheet2!C1051=Sheet1!C$19,Sheet2!D1051=Sheet1!D$19),1,0)</f>
        <v>0</v>
      </c>
      <c r="B1051" s="10" t="s">
        <v>158</v>
      </c>
      <c r="C1051" s="12">
        <v>1</v>
      </c>
      <c r="D1051" s="22">
        <v>10</v>
      </c>
      <c r="E1051" s="22">
        <v>11257</v>
      </c>
      <c r="F1051" s="10" t="s">
        <v>74</v>
      </c>
      <c r="G1051" s="10" t="str">
        <f t="shared" si="8"/>
        <v>11257A</v>
      </c>
    </row>
    <row r="1052" spans="1:7" x14ac:dyDescent="0.25">
      <c r="A1052">
        <f>IF(AND(Sheet2!B1052=Sheet1!B$19,Sheet2!C1052=Sheet1!C$19,Sheet2!D1052=Sheet1!D$19),1,0)</f>
        <v>0</v>
      </c>
      <c r="B1052" s="10" t="s">
        <v>158</v>
      </c>
      <c r="C1052" s="12">
        <v>1</v>
      </c>
      <c r="D1052" s="22">
        <v>11</v>
      </c>
      <c r="E1052" s="22">
        <v>11258</v>
      </c>
      <c r="F1052" s="10" t="s">
        <v>74</v>
      </c>
      <c r="G1052" s="10" t="str">
        <f t="shared" si="8"/>
        <v>11258A</v>
      </c>
    </row>
    <row r="1053" spans="1:7" x14ac:dyDescent="0.25">
      <c r="A1053">
        <f>IF(AND(Sheet2!B1053=Sheet1!B$19,Sheet2!C1053=Sheet1!C$19,Sheet2!D1053=Sheet1!D$19),1,0)</f>
        <v>0</v>
      </c>
      <c r="B1053" s="10" t="s">
        <v>158</v>
      </c>
      <c r="C1053" s="12">
        <v>1</v>
      </c>
      <c r="D1053" s="22">
        <v>12</v>
      </c>
      <c r="E1053" s="22">
        <v>11259</v>
      </c>
      <c r="F1053" s="10" t="s">
        <v>74</v>
      </c>
      <c r="G1053" s="10" t="str">
        <f t="shared" si="8"/>
        <v>11259A</v>
      </c>
    </row>
    <row r="1054" spans="1:7" x14ac:dyDescent="0.25">
      <c r="A1054">
        <f>IF(AND(Sheet2!B1054=Sheet1!B$19,Sheet2!C1054=Sheet1!C$19,Sheet2!D1054=Sheet1!D$19),1,0)</f>
        <v>0</v>
      </c>
      <c r="B1054" s="10" t="s">
        <v>158</v>
      </c>
      <c r="C1054" s="12">
        <v>1</v>
      </c>
      <c r="D1054" s="22">
        <v>13</v>
      </c>
      <c r="E1054" s="22">
        <v>11260</v>
      </c>
      <c r="F1054" s="10" t="s">
        <v>74</v>
      </c>
      <c r="G1054" s="10" t="str">
        <f t="shared" si="8"/>
        <v>11260A</v>
      </c>
    </row>
    <row r="1055" spans="1:7" x14ac:dyDescent="0.25">
      <c r="A1055">
        <f>IF(AND(Sheet2!B1055=Sheet1!B$19,Sheet2!C1055=Sheet1!C$19,Sheet2!D1055=Sheet1!D$19),1,0)</f>
        <v>0</v>
      </c>
      <c r="B1055" s="10" t="s">
        <v>158</v>
      </c>
      <c r="C1055" s="12">
        <v>1</v>
      </c>
      <c r="D1055" s="22">
        <v>14</v>
      </c>
      <c r="E1055" s="22">
        <v>11261</v>
      </c>
      <c r="F1055" s="10" t="s">
        <v>74</v>
      </c>
      <c r="G1055" s="10" t="str">
        <f t="shared" si="8"/>
        <v>11261A</v>
      </c>
    </row>
    <row r="1056" spans="1:7" x14ac:dyDescent="0.25">
      <c r="A1056">
        <f>IF(AND(Sheet2!B1056=Sheet1!B$19,Sheet2!C1056=Sheet1!C$19,Sheet2!D1056=Sheet1!D$19),1,0)</f>
        <v>0</v>
      </c>
      <c r="B1056" s="10" t="s">
        <v>158</v>
      </c>
      <c r="C1056" s="12">
        <v>1</v>
      </c>
      <c r="D1056" s="22">
        <v>15</v>
      </c>
      <c r="E1056" s="22">
        <v>11262</v>
      </c>
      <c r="F1056" s="10" t="s">
        <v>74</v>
      </c>
      <c r="G1056" s="10" t="str">
        <f t="shared" si="8"/>
        <v>11262A</v>
      </c>
    </row>
    <row r="1057" spans="1:7" x14ac:dyDescent="0.25">
      <c r="A1057">
        <f>IF(AND(Sheet2!B1057=Sheet1!B$19,Sheet2!C1057=Sheet1!C$19,Sheet2!D1057=Sheet1!D$19),1,0)</f>
        <v>0</v>
      </c>
      <c r="B1057" s="10" t="s">
        <v>158</v>
      </c>
      <c r="C1057" s="12">
        <v>1</v>
      </c>
      <c r="D1057" s="22">
        <v>16</v>
      </c>
      <c r="E1057" s="22">
        <v>11263</v>
      </c>
      <c r="F1057" s="10" t="s">
        <v>74</v>
      </c>
      <c r="G1057" s="10" t="str">
        <f t="shared" si="8"/>
        <v>11263A</v>
      </c>
    </row>
    <row r="1058" spans="1:7" x14ac:dyDescent="0.25">
      <c r="A1058">
        <f>IF(AND(Sheet2!B1058=Sheet1!B$19,Sheet2!C1058=Sheet1!C$19,Sheet2!D1058=Sheet1!D$19),1,0)</f>
        <v>0</v>
      </c>
      <c r="B1058" s="10" t="s">
        <v>158</v>
      </c>
      <c r="C1058" s="12">
        <v>1</v>
      </c>
      <c r="D1058" s="22">
        <v>17</v>
      </c>
      <c r="E1058" s="22">
        <v>11264</v>
      </c>
      <c r="F1058" s="10" t="s">
        <v>74</v>
      </c>
      <c r="G1058" s="10" t="str">
        <f t="shared" si="8"/>
        <v>11264A</v>
      </c>
    </row>
    <row r="1059" spans="1:7" x14ac:dyDescent="0.25">
      <c r="A1059">
        <f>IF(AND(Sheet2!B1059=Sheet1!B$19,Sheet2!C1059=Sheet1!C$19,Sheet2!D1059=Sheet1!D$19),1,0)</f>
        <v>0</v>
      </c>
      <c r="B1059" s="10" t="s">
        <v>158</v>
      </c>
      <c r="C1059" s="12">
        <v>1</v>
      </c>
      <c r="D1059" s="22">
        <v>18</v>
      </c>
      <c r="E1059" s="22">
        <v>11265</v>
      </c>
      <c r="F1059" s="10" t="s">
        <v>74</v>
      </c>
      <c r="G1059" s="10" t="str">
        <f t="shared" si="8"/>
        <v>11265A</v>
      </c>
    </row>
    <row r="1060" spans="1:7" x14ac:dyDescent="0.25">
      <c r="A1060">
        <f>IF(AND(Sheet2!B1060=Sheet1!B$19,Sheet2!C1060=Sheet1!C$19,Sheet2!D1060=Sheet1!D$19),1,0)</f>
        <v>0</v>
      </c>
      <c r="B1060" s="10" t="s">
        <v>158</v>
      </c>
      <c r="C1060" s="12">
        <v>1</v>
      </c>
      <c r="D1060" s="22">
        <v>19</v>
      </c>
      <c r="E1060" s="22">
        <v>11266</v>
      </c>
      <c r="F1060" s="10" t="s">
        <v>74</v>
      </c>
      <c r="G1060" s="10" t="str">
        <f t="shared" si="8"/>
        <v>11266A</v>
      </c>
    </row>
    <row r="1061" spans="1:7" x14ac:dyDescent="0.25">
      <c r="A1061">
        <f>IF(AND(Sheet2!B1061=Sheet1!B$19,Sheet2!C1061=Sheet1!C$19,Sheet2!D1061=Sheet1!D$19),1,0)</f>
        <v>0</v>
      </c>
      <c r="B1061" s="10" t="s">
        <v>158</v>
      </c>
      <c r="C1061" s="12">
        <v>1</v>
      </c>
      <c r="D1061" s="22">
        <v>20</v>
      </c>
      <c r="E1061" s="22">
        <v>11267</v>
      </c>
      <c r="F1061" s="10" t="s">
        <v>74</v>
      </c>
      <c r="G1061" s="10" t="str">
        <f t="shared" si="8"/>
        <v>11267A</v>
      </c>
    </row>
    <row r="1062" spans="1:7" x14ac:dyDescent="0.25">
      <c r="A1062">
        <f>IF(AND(Sheet2!B1062=Sheet1!B$19,Sheet2!C1062=Sheet1!C$19,Sheet2!D1062=Sheet1!D$19),1,0)</f>
        <v>0</v>
      </c>
      <c r="B1062" s="10" t="s">
        <v>158</v>
      </c>
      <c r="C1062" s="12">
        <v>1</v>
      </c>
      <c r="D1062" s="22">
        <v>21</v>
      </c>
      <c r="E1062" s="22">
        <v>11706</v>
      </c>
      <c r="F1062" s="10" t="s">
        <v>74</v>
      </c>
      <c r="G1062" s="10" t="str">
        <f t="shared" si="8"/>
        <v>11706A</v>
      </c>
    </row>
    <row r="1063" spans="1:7" x14ac:dyDescent="0.25">
      <c r="A1063">
        <f>IF(AND(Sheet2!B1063=Sheet1!B$19,Sheet2!C1063=Sheet1!C$19,Sheet2!D1063=Sheet1!D$19),1,0)</f>
        <v>0</v>
      </c>
      <c r="B1063" s="10" t="s">
        <v>158</v>
      </c>
      <c r="C1063" s="12">
        <v>1</v>
      </c>
      <c r="D1063" s="22">
        <v>22</v>
      </c>
      <c r="E1063" s="22">
        <v>11707</v>
      </c>
      <c r="F1063" s="10" t="s">
        <v>74</v>
      </c>
      <c r="G1063" s="10" t="str">
        <f t="shared" si="8"/>
        <v>11707A</v>
      </c>
    </row>
    <row r="1064" spans="1:7" x14ac:dyDescent="0.25">
      <c r="A1064">
        <f>IF(AND(Sheet2!B1064=Sheet1!B$19,Sheet2!C1064=Sheet1!C$19,Sheet2!D1064=Sheet1!D$19),1,0)</f>
        <v>0</v>
      </c>
      <c r="B1064" s="10" t="s">
        <v>158</v>
      </c>
      <c r="C1064" s="12">
        <v>1</v>
      </c>
      <c r="D1064" s="22">
        <v>23</v>
      </c>
      <c r="E1064" s="22">
        <v>11708</v>
      </c>
      <c r="F1064" s="10" t="s">
        <v>74</v>
      </c>
      <c r="G1064" s="10" t="str">
        <f t="shared" si="8"/>
        <v>11708A</v>
      </c>
    </row>
    <row r="1065" spans="1:7" x14ac:dyDescent="0.25">
      <c r="A1065">
        <f>IF(AND(Sheet2!B1065=Sheet1!B$19,Sheet2!C1065=Sheet1!C$19,Sheet2!D1065=Sheet1!D$19),1,0)</f>
        <v>0</v>
      </c>
      <c r="B1065" s="10" t="s">
        <v>158</v>
      </c>
      <c r="C1065" s="12">
        <v>1</v>
      </c>
      <c r="D1065" s="22">
        <v>24</v>
      </c>
      <c r="E1065" s="22">
        <v>11709</v>
      </c>
      <c r="F1065" s="10" t="s">
        <v>74</v>
      </c>
      <c r="G1065" s="10" t="str">
        <f t="shared" si="8"/>
        <v>11709A</v>
      </c>
    </row>
    <row r="1066" spans="1:7" x14ac:dyDescent="0.25">
      <c r="A1066">
        <f>IF(AND(Sheet2!B1066=Sheet1!B$19,Sheet2!C1066=Sheet1!C$19,Sheet2!D1066=Sheet1!D$19),1,0)</f>
        <v>0</v>
      </c>
      <c r="B1066" s="10" t="s">
        <v>158</v>
      </c>
      <c r="C1066" s="12">
        <v>1</v>
      </c>
      <c r="D1066" s="22">
        <v>25</v>
      </c>
      <c r="E1066" s="22">
        <v>11710</v>
      </c>
      <c r="F1066" s="10" t="s">
        <v>74</v>
      </c>
      <c r="G1066" s="10" t="str">
        <f t="shared" si="8"/>
        <v>11710A</v>
      </c>
    </row>
    <row r="1067" spans="1:7" x14ac:dyDescent="0.25">
      <c r="A1067">
        <f>IF(AND(Sheet2!B1067=Sheet1!B$19,Sheet2!C1067=Sheet1!C$19,Sheet2!D1067=Sheet1!D$19),1,0)</f>
        <v>0</v>
      </c>
      <c r="B1067" s="10" t="s">
        <v>158</v>
      </c>
      <c r="C1067" s="12">
        <v>1</v>
      </c>
      <c r="D1067" s="22">
        <v>26</v>
      </c>
      <c r="E1067" s="22">
        <v>11711</v>
      </c>
      <c r="F1067" s="10" t="s">
        <v>74</v>
      </c>
      <c r="G1067" s="10" t="str">
        <f t="shared" si="8"/>
        <v>11711A</v>
      </c>
    </row>
    <row r="1068" spans="1:7" x14ac:dyDescent="0.25">
      <c r="A1068">
        <f>IF(AND(Sheet2!B1068=Sheet1!B$19,Sheet2!C1068=Sheet1!C$19,Sheet2!D1068=Sheet1!D$19),1,0)</f>
        <v>0</v>
      </c>
      <c r="B1068" s="10" t="s">
        <v>158</v>
      </c>
      <c r="C1068" s="12">
        <v>1</v>
      </c>
      <c r="D1068" s="22">
        <v>27</v>
      </c>
      <c r="E1068" s="22">
        <v>11712</v>
      </c>
      <c r="F1068" s="10" t="s">
        <v>74</v>
      </c>
      <c r="G1068" s="10" t="str">
        <f t="shared" si="8"/>
        <v>11712A</v>
      </c>
    </row>
    <row r="1069" spans="1:7" x14ac:dyDescent="0.25">
      <c r="A1069">
        <f>IF(AND(Sheet2!B1069=Sheet1!B$19,Sheet2!C1069=Sheet1!C$19,Sheet2!D1069=Sheet1!D$19),1,0)</f>
        <v>0</v>
      </c>
      <c r="B1069" s="10" t="s">
        <v>158</v>
      </c>
      <c r="C1069" s="12">
        <v>1</v>
      </c>
      <c r="D1069" s="22">
        <v>28</v>
      </c>
      <c r="E1069" s="22">
        <v>11713</v>
      </c>
      <c r="F1069" s="10" t="s">
        <v>74</v>
      </c>
      <c r="G1069" s="10" t="str">
        <f t="shared" si="8"/>
        <v>11713A</v>
      </c>
    </row>
    <row r="1070" spans="1:7" x14ac:dyDescent="0.25">
      <c r="A1070">
        <f>IF(AND(Sheet2!B1070=Sheet1!B$19,Sheet2!C1070=Sheet1!C$19,Sheet2!D1070=Sheet1!D$19),1,0)</f>
        <v>0</v>
      </c>
      <c r="B1070" s="10" t="s">
        <v>158</v>
      </c>
      <c r="C1070" s="12">
        <v>1</v>
      </c>
      <c r="D1070" s="22">
        <v>29</v>
      </c>
      <c r="E1070" s="22">
        <v>11714</v>
      </c>
      <c r="F1070" s="10" t="s">
        <v>74</v>
      </c>
      <c r="G1070" s="10" t="str">
        <f t="shared" si="8"/>
        <v>11714A</v>
      </c>
    </row>
    <row r="1071" spans="1:7" x14ac:dyDescent="0.25">
      <c r="A1071">
        <f>IF(AND(Sheet2!B1071=Sheet1!B$19,Sheet2!C1071=Sheet1!C$19,Sheet2!D1071=Sheet1!D$19),1,0)</f>
        <v>0</v>
      </c>
      <c r="B1071" s="10" t="s">
        <v>158</v>
      </c>
      <c r="C1071" s="12">
        <v>1</v>
      </c>
      <c r="D1071" s="22">
        <v>30</v>
      </c>
      <c r="E1071" s="22">
        <v>11715</v>
      </c>
      <c r="F1071" s="10" t="s">
        <v>74</v>
      </c>
      <c r="G1071" s="10" t="str">
        <f t="shared" si="8"/>
        <v>11715A</v>
      </c>
    </row>
    <row r="1072" spans="1:7" x14ac:dyDescent="0.25">
      <c r="A1072">
        <f>IF(AND(Sheet2!B1072=Sheet1!B$19,Sheet2!C1072=Sheet1!C$19,Sheet2!D1072=Sheet1!D$19),1,0)</f>
        <v>0</v>
      </c>
      <c r="B1072" s="10" t="s">
        <v>158</v>
      </c>
      <c r="C1072" s="12">
        <v>1</v>
      </c>
      <c r="D1072" s="22">
        <v>31</v>
      </c>
      <c r="E1072" s="22">
        <v>11716</v>
      </c>
      <c r="F1072" s="10" t="s">
        <v>74</v>
      </c>
      <c r="G1072" s="10" t="str">
        <f t="shared" si="8"/>
        <v>11716A</v>
      </c>
    </row>
    <row r="1073" spans="1:7" x14ac:dyDescent="0.25">
      <c r="A1073">
        <f>IF(AND(Sheet2!B1073=Sheet1!B$19,Sheet2!C1073=Sheet1!C$19,Sheet2!D1073=Sheet1!D$19),1,0)</f>
        <v>0</v>
      </c>
      <c r="B1073" s="10" t="s">
        <v>158</v>
      </c>
      <c r="C1073" s="12">
        <v>1</v>
      </c>
      <c r="D1073" s="22">
        <v>32</v>
      </c>
      <c r="E1073" s="22">
        <v>11717</v>
      </c>
      <c r="F1073" s="10" t="s">
        <v>74</v>
      </c>
      <c r="G1073" s="10" t="str">
        <f t="shared" si="8"/>
        <v>11717A</v>
      </c>
    </row>
    <row r="1074" spans="1:7" x14ac:dyDescent="0.25">
      <c r="A1074">
        <f>IF(AND(Sheet2!B1074=Sheet1!B$19,Sheet2!C1074=Sheet1!C$19,Sheet2!D1074=Sheet1!D$19),1,0)</f>
        <v>0</v>
      </c>
      <c r="B1074" s="10" t="s">
        <v>158</v>
      </c>
      <c r="C1074" s="12">
        <v>1</v>
      </c>
      <c r="D1074" s="22">
        <v>33</v>
      </c>
      <c r="E1074" s="22">
        <v>11718</v>
      </c>
      <c r="F1074" s="10" t="s">
        <v>74</v>
      </c>
      <c r="G1074" s="10" t="str">
        <f t="shared" si="8"/>
        <v>11718A</v>
      </c>
    </row>
    <row r="1075" spans="1:7" x14ac:dyDescent="0.25">
      <c r="A1075">
        <f>IF(AND(Sheet2!B1075=Sheet1!B$19,Sheet2!C1075=Sheet1!C$19,Sheet2!D1075=Sheet1!D$19),1,0)</f>
        <v>0</v>
      </c>
      <c r="B1075" s="10" t="s">
        <v>158</v>
      </c>
      <c r="C1075" s="12">
        <v>1</v>
      </c>
      <c r="D1075" s="22">
        <v>34</v>
      </c>
      <c r="E1075" s="22">
        <v>11719</v>
      </c>
      <c r="F1075" s="10" t="s">
        <v>74</v>
      </c>
      <c r="G1075" s="10" t="str">
        <f t="shared" si="8"/>
        <v>11719A</v>
      </c>
    </row>
    <row r="1076" spans="1:7" x14ac:dyDescent="0.25">
      <c r="A1076">
        <f>IF(AND(Sheet2!B1076=Sheet1!B$19,Sheet2!C1076=Sheet1!C$19,Sheet2!D1076=Sheet1!D$19),1,0)</f>
        <v>0</v>
      </c>
      <c r="B1076" s="10" t="s">
        <v>158</v>
      </c>
      <c r="C1076" s="12">
        <v>1</v>
      </c>
      <c r="D1076" s="22">
        <v>35</v>
      </c>
      <c r="E1076" s="22">
        <v>11720</v>
      </c>
      <c r="F1076" s="10" t="s">
        <v>74</v>
      </c>
      <c r="G1076" s="10" t="str">
        <f t="shared" si="8"/>
        <v>11720A</v>
      </c>
    </row>
    <row r="1077" spans="1:7" x14ac:dyDescent="0.25">
      <c r="A1077">
        <f>IF(AND(Sheet2!B1077=Sheet1!B$19,Sheet2!C1077=Sheet1!C$19,Sheet2!D1077=Sheet1!D$19),1,0)</f>
        <v>0</v>
      </c>
      <c r="B1077" s="10" t="s">
        <v>158</v>
      </c>
      <c r="C1077" s="12">
        <v>1</v>
      </c>
      <c r="D1077" s="22">
        <v>36</v>
      </c>
      <c r="E1077" s="22">
        <v>11721</v>
      </c>
      <c r="F1077" s="10" t="s">
        <v>74</v>
      </c>
      <c r="G1077" s="10" t="str">
        <f t="shared" si="8"/>
        <v>11721A</v>
      </c>
    </row>
    <row r="1078" spans="1:7" x14ac:dyDescent="0.25">
      <c r="A1078">
        <f>IF(AND(Sheet2!B1078=Sheet1!B$19,Sheet2!C1078=Sheet1!C$19,Sheet2!D1078=Sheet1!D$19),1,0)</f>
        <v>0</v>
      </c>
      <c r="B1078" s="10" t="s">
        <v>158</v>
      </c>
      <c r="C1078" s="12">
        <v>1</v>
      </c>
      <c r="D1078" s="22">
        <v>37</v>
      </c>
      <c r="E1078" s="22">
        <v>11722</v>
      </c>
      <c r="F1078" s="10" t="s">
        <v>74</v>
      </c>
      <c r="G1078" s="10" t="str">
        <f t="shared" si="8"/>
        <v>11722A</v>
      </c>
    </row>
    <row r="1079" spans="1:7" x14ac:dyDescent="0.25">
      <c r="A1079">
        <f>IF(AND(Sheet2!B1079=Sheet1!B$19,Sheet2!C1079=Sheet1!C$19,Sheet2!D1079=Sheet1!D$19),1,0)</f>
        <v>0</v>
      </c>
      <c r="B1079" s="10" t="s">
        <v>158</v>
      </c>
      <c r="C1079" s="12">
        <v>1</v>
      </c>
      <c r="D1079" s="22">
        <v>38</v>
      </c>
      <c r="E1079" s="22">
        <v>11723</v>
      </c>
      <c r="F1079" s="10" t="s">
        <v>74</v>
      </c>
      <c r="G1079" s="10" t="str">
        <f t="shared" si="8"/>
        <v>11723A</v>
      </c>
    </row>
    <row r="1080" spans="1:7" x14ac:dyDescent="0.25">
      <c r="A1080">
        <f>IF(AND(Sheet2!B1080=Sheet1!B$19,Sheet2!C1080=Sheet1!C$19,Sheet2!D1080=Sheet1!D$19),1,0)</f>
        <v>0</v>
      </c>
      <c r="B1080" s="10" t="s">
        <v>158</v>
      </c>
      <c r="C1080" s="12">
        <v>1</v>
      </c>
      <c r="D1080" s="22">
        <v>39</v>
      </c>
      <c r="E1080" s="22">
        <v>11724</v>
      </c>
      <c r="F1080" s="10" t="s">
        <v>74</v>
      </c>
      <c r="G1080" s="10" t="str">
        <f t="shared" si="8"/>
        <v>11724A</v>
      </c>
    </row>
    <row r="1081" spans="1:7" x14ac:dyDescent="0.25">
      <c r="A1081">
        <f>IF(AND(Sheet2!B1081=Sheet1!B$19,Sheet2!C1081=Sheet1!C$19,Sheet2!D1081=Sheet1!D$19),1,0)</f>
        <v>0</v>
      </c>
      <c r="B1081" s="10" t="s">
        <v>158</v>
      </c>
      <c r="C1081" s="12">
        <v>1</v>
      </c>
      <c r="D1081" s="22">
        <v>40</v>
      </c>
      <c r="E1081" s="22">
        <v>11725</v>
      </c>
      <c r="F1081" s="10" t="s">
        <v>74</v>
      </c>
      <c r="G1081" s="10" t="str">
        <f t="shared" si="8"/>
        <v>11725A</v>
      </c>
    </row>
    <row r="1082" spans="1:7" x14ac:dyDescent="0.25">
      <c r="A1082">
        <f>IF(AND(Sheet2!B1082=Sheet1!B$19,Sheet2!C1082=Sheet1!C$19,Sheet2!D1082=Sheet1!D$19),1,0)</f>
        <v>0</v>
      </c>
      <c r="B1082" s="10" t="s">
        <v>158</v>
      </c>
      <c r="C1082" s="12">
        <v>1</v>
      </c>
      <c r="D1082" s="22">
        <v>41</v>
      </c>
      <c r="E1082" s="22">
        <v>11726</v>
      </c>
      <c r="F1082" s="10" t="s">
        <v>74</v>
      </c>
      <c r="G1082" s="10" t="str">
        <f t="shared" si="8"/>
        <v>11726A</v>
      </c>
    </row>
    <row r="1083" spans="1:7" x14ac:dyDescent="0.25">
      <c r="A1083">
        <f>IF(AND(Sheet2!B1083=Sheet1!B$19,Sheet2!C1083=Sheet1!C$19,Sheet2!D1083=Sheet1!D$19),1,0)</f>
        <v>0</v>
      </c>
      <c r="B1083" s="10" t="s">
        <v>158</v>
      </c>
      <c r="C1083" s="12">
        <v>1</v>
      </c>
      <c r="D1083" s="22">
        <v>42</v>
      </c>
      <c r="E1083" s="22">
        <v>11727</v>
      </c>
      <c r="F1083" s="10" t="s">
        <v>74</v>
      </c>
      <c r="G1083" s="10" t="str">
        <f t="shared" si="8"/>
        <v>11727A</v>
      </c>
    </row>
    <row r="1084" spans="1:7" x14ac:dyDescent="0.25">
      <c r="A1084">
        <f>IF(AND(Sheet2!B1084=Sheet1!B$19,Sheet2!C1084=Sheet1!C$19,Sheet2!D1084=Sheet1!D$19),1,0)</f>
        <v>0</v>
      </c>
      <c r="B1084" s="10" t="s">
        <v>158</v>
      </c>
      <c r="C1084" s="12">
        <v>1</v>
      </c>
      <c r="D1084" s="22">
        <v>43</v>
      </c>
      <c r="E1084" s="22">
        <v>11728</v>
      </c>
      <c r="F1084" s="10" t="s">
        <v>74</v>
      </c>
      <c r="G1084" s="10" t="str">
        <f t="shared" si="8"/>
        <v>11728A</v>
      </c>
    </row>
    <row r="1085" spans="1:7" x14ac:dyDescent="0.25">
      <c r="A1085">
        <f>IF(AND(Sheet2!B1085=Sheet1!B$19,Sheet2!C1085=Sheet1!C$19,Sheet2!D1085=Sheet1!D$19),1,0)</f>
        <v>0</v>
      </c>
      <c r="B1085" s="10" t="s">
        <v>158</v>
      </c>
      <c r="C1085" s="12">
        <v>1</v>
      </c>
      <c r="D1085" s="22">
        <v>44</v>
      </c>
      <c r="E1085" s="22">
        <v>11729</v>
      </c>
      <c r="F1085" s="10" t="s">
        <v>74</v>
      </c>
      <c r="G1085" s="10" t="str">
        <f t="shared" si="8"/>
        <v>11729A</v>
      </c>
    </row>
    <row r="1086" spans="1:7" x14ac:dyDescent="0.25">
      <c r="A1086">
        <f>IF(AND(Sheet2!B1086=Sheet1!B$19,Sheet2!C1086=Sheet1!C$19,Sheet2!D1086=Sheet1!D$19),1,0)</f>
        <v>0</v>
      </c>
      <c r="B1086" s="10" t="s">
        <v>158</v>
      </c>
      <c r="C1086" s="12">
        <v>1</v>
      </c>
      <c r="D1086" s="22">
        <v>45</v>
      </c>
      <c r="E1086" s="22">
        <v>11730</v>
      </c>
      <c r="F1086" s="10" t="s">
        <v>74</v>
      </c>
      <c r="G1086" s="10" t="str">
        <f t="shared" si="8"/>
        <v>11730A</v>
      </c>
    </row>
    <row r="1087" spans="1:7" x14ac:dyDescent="0.25">
      <c r="A1087">
        <f>IF(AND(Sheet2!B1087=Sheet1!B$19,Sheet2!C1087=Sheet1!C$19,Sheet2!D1087=Sheet1!D$19),1,0)</f>
        <v>0</v>
      </c>
      <c r="B1087" s="10" t="s">
        <v>158</v>
      </c>
      <c r="C1087" s="12">
        <v>1</v>
      </c>
      <c r="D1087" s="22">
        <v>46</v>
      </c>
      <c r="E1087" s="22">
        <v>11731</v>
      </c>
      <c r="F1087" s="10" t="s">
        <v>74</v>
      </c>
      <c r="G1087" s="10" t="str">
        <f t="shared" si="8"/>
        <v>11731A</v>
      </c>
    </row>
    <row r="1088" spans="1:7" x14ac:dyDescent="0.25">
      <c r="A1088">
        <f>IF(AND(Sheet2!B1088=Sheet1!B$19,Sheet2!C1088=Sheet1!C$19,Sheet2!D1088=Sheet1!D$19),1,0)</f>
        <v>0</v>
      </c>
      <c r="B1088" s="10" t="s">
        <v>158</v>
      </c>
      <c r="C1088" s="12">
        <v>1</v>
      </c>
      <c r="D1088" s="22">
        <v>47</v>
      </c>
      <c r="E1088" s="22">
        <v>11732</v>
      </c>
      <c r="F1088" s="10" t="s">
        <v>74</v>
      </c>
      <c r="G1088" s="10" t="str">
        <f t="shared" si="8"/>
        <v>11732A</v>
      </c>
    </row>
    <row r="1089" spans="1:7" x14ac:dyDescent="0.25">
      <c r="A1089">
        <f>IF(AND(Sheet2!B1089=Sheet1!B$19,Sheet2!C1089=Sheet1!C$19,Sheet2!D1089=Sheet1!D$19),1,0)</f>
        <v>0</v>
      </c>
      <c r="B1089" s="10" t="s">
        <v>158</v>
      </c>
      <c r="C1089" s="12">
        <v>1</v>
      </c>
      <c r="D1089" s="22">
        <v>48</v>
      </c>
      <c r="E1089" s="22">
        <v>11733</v>
      </c>
      <c r="F1089" s="10" t="s">
        <v>74</v>
      </c>
      <c r="G1089" s="10" t="str">
        <f t="shared" si="8"/>
        <v>11733A</v>
      </c>
    </row>
    <row r="1090" spans="1:7" x14ac:dyDescent="0.25">
      <c r="A1090">
        <f>IF(AND(Sheet2!B1090=Sheet1!B$19,Sheet2!C1090=Sheet1!C$19,Sheet2!D1090=Sheet1!D$19),1,0)</f>
        <v>0</v>
      </c>
      <c r="B1090" s="10" t="s">
        <v>158</v>
      </c>
      <c r="C1090" s="12">
        <v>1</v>
      </c>
      <c r="D1090" s="22">
        <v>49</v>
      </c>
      <c r="E1090" s="22">
        <v>11734</v>
      </c>
      <c r="F1090" s="10" t="s">
        <v>74</v>
      </c>
      <c r="G1090" s="10" t="str">
        <f t="shared" ref="G1090:G1101" si="9">CONCATENATE(E1090,F1090)</f>
        <v>11734A</v>
      </c>
    </row>
    <row r="1091" spans="1:7" x14ac:dyDescent="0.25">
      <c r="A1091">
        <f>IF(AND(Sheet2!B1091=Sheet1!B$19,Sheet2!C1091=Sheet1!C$19,Sheet2!D1091=Sheet1!D$19),1,0)</f>
        <v>0</v>
      </c>
      <c r="B1091" s="10" t="s">
        <v>158</v>
      </c>
      <c r="C1091" s="12">
        <v>1</v>
      </c>
      <c r="D1091" s="22">
        <v>50</v>
      </c>
      <c r="E1091" s="22">
        <v>11735</v>
      </c>
      <c r="F1091" s="10" t="s">
        <v>74</v>
      </c>
      <c r="G1091" s="10" t="str">
        <f t="shared" si="9"/>
        <v>11735A</v>
      </c>
    </row>
    <row r="1092" spans="1:7" x14ac:dyDescent="0.25">
      <c r="A1092">
        <f>IF(AND(Sheet2!B1092=Sheet1!B$19,Sheet2!C1092=Sheet1!C$19,Sheet2!D1092=Sheet1!D$19),1,0)</f>
        <v>0</v>
      </c>
      <c r="B1092" s="10" t="s">
        <v>158</v>
      </c>
      <c r="C1092" s="12">
        <v>1</v>
      </c>
      <c r="D1092" s="22">
        <v>51</v>
      </c>
      <c r="E1092" s="22">
        <v>11736</v>
      </c>
      <c r="F1092" s="10" t="s">
        <v>74</v>
      </c>
      <c r="G1092" s="10" t="str">
        <f t="shared" si="9"/>
        <v>11736A</v>
      </c>
    </row>
    <row r="1093" spans="1:7" x14ac:dyDescent="0.25">
      <c r="A1093">
        <f>IF(AND(Sheet2!B1093=Sheet1!B$19,Sheet2!C1093=Sheet1!C$19,Sheet2!D1093=Sheet1!D$19),1,0)</f>
        <v>0</v>
      </c>
      <c r="B1093" s="10" t="s">
        <v>158</v>
      </c>
      <c r="C1093" s="12">
        <v>1</v>
      </c>
      <c r="D1093" s="22">
        <v>52</v>
      </c>
      <c r="E1093" s="22">
        <v>11737</v>
      </c>
      <c r="F1093" s="10" t="s">
        <v>74</v>
      </c>
      <c r="G1093" s="10" t="str">
        <f t="shared" si="9"/>
        <v>11737A</v>
      </c>
    </row>
    <row r="1094" spans="1:7" x14ac:dyDescent="0.25">
      <c r="A1094">
        <f>IF(AND(Sheet2!B1094=Sheet1!B$19,Sheet2!C1094=Sheet1!C$19,Sheet2!D1094=Sheet1!D$19),1,0)</f>
        <v>0</v>
      </c>
      <c r="B1094" s="10" t="s">
        <v>158</v>
      </c>
      <c r="C1094" s="12">
        <v>1</v>
      </c>
      <c r="D1094" s="22">
        <v>53</v>
      </c>
      <c r="E1094" s="22">
        <v>11738</v>
      </c>
      <c r="F1094" s="10" t="s">
        <v>74</v>
      </c>
      <c r="G1094" s="10" t="str">
        <f t="shared" si="9"/>
        <v>11738A</v>
      </c>
    </row>
    <row r="1095" spans="1:7" x14ac:dyDescent="0.25">
      <c r="A1095">
        <f>IF(AND(Sheet2!B1095=Sheet1!B$19,Sheet2!C1095=Sheet1!C$19,Sheet2!D1095=Sheet1!D$19),1,0)</f>
        <v>0</v>
      </c>
      <c r="B1095" s="10" t="s">
        <v>158</v>
      </c>
      <c r="C1095" s="12">
        <v>1</v>
      </c>
      <c r="D1095" s="22">
        <v>54</v>
      </c>
      <c r="E1095" s="22">
        <v>11739</v>
      </c>
      <c r="F1095" s="10" t="s">
        <v>74</v>
      </c>
      <c r="G1095" s="10" t="str">
        <f t="shared" si="9"/>
        <v>11739A</v>
      </c>
    </row>
    <row r="1096" spans="1:7" x14ac:dyDescent="0.25">
      <c r="A1096">
        <f>IF(AND(Sheet2!B1096=Sheet1!B$19,Sheet2!C1096=Sheet1!C$19,Sheet2!D1096=Sheet1!D$19),1,0)</f>
        <v>0</v>
      </c>
      <c r="B1096" s="10" t="s">
        <v>158</v>
      </c>
      <c r="C1096" s="12">
        <v>1</v>
      </c>
      <c r="D1096" s="22">
        <v>55</v>
      </c>
      <c r="E1096" s="22">
        <v>11740</v>
      </c>
      <c r="F1096" s="10" t="s">
        <v>74</v>
      </c>
      <c r="G1096" s="10" t="str">
        <f t="shared" si="9"/>
        <v>11740A</v>
      </c>
    </row>
    <row r="1097" spans="1:7" x14ac:dyDescent="0.25">
      <c r="A1097">
        <f>IF(AND(Sheet2!B1097=Sheet1!B$19,Sheet2!C1097=Sheet1!C$19,Sheet2!D1097=Sheet1!D$19),1,0)</f>
        <v>0</v>
      </c>
      <c r="B1097" s="10" t="s">
        <v>158</v>
      </c>
      <c r="C1097" s="12">
        <v>1</v>
      </c>
      <c r="D1097" s="22">
        <v>56</v>
      </c>
      <c r="E1097" s="22">
        <v>11741</v>
      </c>
      <c r="F1097" s="10" t="s">
        <v>74</v>
      </c>
      <c r="G1097" s="10" t="str">
        <f t="shared" si="9"/>
        <v>11741A</v>
      </c>
    </row>
    <row r="1098" spans="1:7" x14ac:dyDescent="0.25">
      <c r="A1098">
        <f>IF(AND(Sheet2!B1098=Sheet1!B$19,Sheet2!C1098=Sheet1!C$19,Sheet2!D1098=Sheet1!D$19),1,0)</f>
        <v>0</v>
      </c>
      <c r="B1098" s="10" t="s">
        <v>158</v>
      </c>
      <c r="C1098" s="12">
        <v>1</v>
      </c>
      <c r="D1098" s="22">
        <v>57</v>
      </c>
      <c r="E1098" s="22">
        <v>11742</v>
      </c>
      <c r="F1098" s="10" t="s">
        <v>74</v>
      </c>
      <c r="G1098" s="10" t="str">
        <f t="shared" si="9"/>
        <v>11742A</v>
      </c>
    </row>
    <row r="1099" spans="1:7" x14ac:dyDescent="0.25">
      <c r="A1099">
        <f>IF(AND(Sheet2!B1099=Sheet1!B$19,Sheet2!C1099=Sheet1!C$19,Sheet2!D1099=Sheet1!D$19),1,0)</f>
        <v>0</v>
      </c>
      <c r="B1099" s="10" t="s">
        <v>158</v>
      </c>
      <c r="C1099" s="12">
        <v>1</v>
      </c>
      <c r="D1099" s="22">
        <v>58</v>
      </c>
      <c r="E1099" s="22">
        <v>11743</v>
      </c>
      <c r="F1099" s="10" t="s">
        <v>74</v>
      </c>
      <c r="G1099" s="10" t="str">
        <f t="shared" si="9"/>
        <v>11743A</v>
      </c>
    </row>
    <row r="1100" spans="1:7" x14ac:dyDescent="0.25">
      <c r="A1100">
        <f>IF(AND(Sheet2!B1100=Sheet1!B$19,Sheet2!C1100=Sheet1!C$19,Sheet2!D1100=Sheet1!D$19),1,0)</f>
        <v>0</v>
      </c>
      <c r="B1100" s="10" t="s">
        <v>158</v>
      </c>
      <c r="C1100" s="12">
        <v>1</v>
      </c>
      <c r="D1100" s="22">
        <v>59</v>
      </c>
      <c r="E1100" s="22">
        <v>11744</v>
      </c>
      <c r="F1100" s="10" t="s">
        <v>74</v>
      </c>
      <c r="G1100" s="10" t="str">
        <f t="shared" si="9"/>
        <v>11744A</v>
      </c>
    </row>
    <row r="1101" spans="1:7" x14ac:dyDescent="0.25">
      <c r="A1101">
        <f>IF(AND(Sheet2!B1101=Sheet1!B$19,Sheet2!C1101=Sheet1!C$19,Sheet2!D1101=Sheet1!D$19),1,0)</f>
        <v>0</v>
      </c>
      <c r="B1101" s="10" t="s">
        <v>158</v>
      </c>
      <c r="C1101" s="12">
        <v>1</v>
      </c>
      <c r="D1101" s="22">
        <v>60</v>
      </c>
      <c r="E1101" s="22">
        <v>11745</v>
      </c>
      <c r="F1101" s="10" t="s">
        <v>74</v>
      </c>
      <c r="G1101" s="10" t="str">
        <f t="shared" si="9"/>
        <v>11745A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5223B-1C33-4450-A33F-A7B45055A51D}">
  <sheetPr codeName="Sheet5"/>
  <dimension ref="A1:E309"/>
  <sheetViews>
    <sheetView workbookViewId="0">
      <selection activeCell="C126" sqref="C126:D126"/>
    </sheetView>
  </sheetViews>
  <sheetFormatPr defaultColWidth="9.140625" defaultRowHeight="15" x14ac:dyDescent="0.25"/>
  <cols>
    <col min="1" max="1" width="9.140625" style="23"/>
    <col min="3" max="3" width="13.140625" customWidth="1"/>
    <col min="4" max="4" width="34.42578125" bestFit="1" customWidth="1"/>
    <col min="6" max="6" width="15.7109375" customWidth="1"/>
  </cols>
  <sheetData>
    <row r="1" spans="1:5" x14ac:dyDescent="0.25">
      <c r="A1" s="23" t="s">
        <v>118</v>
      </c>
    </row>
    <row r="2" spans="1:5" x14ac:dyDescent="0.25">
      <c r="A2" s="23">
        <f>IF(AND(Sheet4!B2=Sheet1!S$18,Sheet4!C2=Sheet1!R$18),1,0)</f>
        <v>0</v>
      </c>
      <c r="B2" s="25" t="s">
        <v>214</v>
      </c>
      <c r="C2" s="25">
        <v>4</v>
      </c>
      <c r="D2" s="39" t="s">
        <v>120</v>
      </c>
      <c r="E2" s="25" t="s">
        <v>216</v>
      </c>
    </row>
    <row r="3" spans="1:5" x14ac:dyDescent="0.25">
      <c r="B3" s="24" t="s">
        <v>28</v>
      </c>
      <c r="C3" s="24" t="s">
        <v>29</v>
      </c>
      <c r="D3" s="24" t="s">
        <v>30</v>
      </c>
      <c r="E3" s="24" t="s">
        <v>31</v>
      </c>
    </row>
    <row r="4" spans="1:5" x14ac:dyDescent="0.25">
      <c r="B4" s="30">
        <v>1</v>
      </c>
      <c r="C4" s="30" t="s">
        <v>121</v>
      </c>
      <c r="D4" s="30" t="s">
        <v>122</v>
      </c>
      <c r="E4" s="30">
        <v>1</v>
      </c>
    </row>
    <row r="5" spans="1:5" x14ac:dyDescent="0.25">
      <c r="B5" s="30">
        <v>2</v>
      </c>
      <c r="C5" s="30" t="s">
        <v>123</v>
      </c>
      <c r="D5" s="30" t="s">
        <v>124</v>
      </c>
      <c r="E5" s="30">
        <v>2</v>
      </c>
    </row>
    <row r="6" spans="1:5" x14ac:dyDescent="0.25">
      <c r="B6" s="30">
        <v>3</v>
      </c>
      <c r="C6" s="30" t="s">
        <v>125</v>
      </c>
      <c r="D6" s="30" t="s">
        <v>217</v>
      </c>
      <c r="E6" s="30">
        <v>1</v>
      </c>
    </row>
    <row r="7" spans="1:5" x14ac:dyDescent="0.25">
      <c r="B7" s="30">
        <v>4</v>
      </c>
      <c r="C7" s="30" t="s">
        <v>127</v>
      </c>
      <c r="D7" s="30" t="s">
        <v>128</v>
      </c>
      <c r="E7" s="30">
        <v>1</v>
      </c>
    </row>
    <row r="8" spans="1:5" x14ac:dyDescent="0.25">
      <c r="B8" s="30">
        <v>5</v>
      </c>
      <c r="C8" s="30" t="s">
        <v>129</v>
      </c>
      <c r="D8" s="30" t="s">
        <v>130</v>
      </c>
      <c r="E8" s="30">
        <v>2</v>
      </c>
    </row>
    <row r="9" spans="1:5" x14ac:dyDescent="0.25">
      <c r="B9" s="30">
        <v>6</v>
      </c>
      <c r="C9" s="30" t="s">
        <v>54</v>
      </c>
      <c r="D9" s="30" t="s">
        <v>55</v>
      </c>
      <c r="E9" s="30">
        <v>1</v>
      </c>
    </row>
    <row r="10" spans="1:5" x14ac:dyDescent="0.25">
      <c r="B10" s="30">
        <v>7</v>
      </c>
      <c r="C10" s="30" t="s">
        <v>56</v>
      </c>
      <c r="D10" s="30" t="s">
        <v>57</v>
      </c>
      <c r="E10" s="30" t="s">
        <v>58</v>
      </c>
    </row>
    <row r="11" spans="1:5" x14ac:dyDescent="0.25">
      <c r="B11" s="30"/>
      <c r="C11" s="30"/>
      <c r="D11" s="30"/>
      <c r="E11" s="30"/>
    </row>
    <row r="12" spans="1:5" x14ac:dyDescent="0.25">
      <c r="B12" s="30"/>
      <c r="C12" s="30"/>
      <c r="D12" s="30"/>
      <c r="E12" s="30"/>
    </row>
    <row r="13" spans="1:5" x14ac:dyDescent="0.25">
      <c r="B13" s="30"/>
      <c r="C13" s="30"/>
      <c r="D13" s="30"/>
      <c r="E13" s="30"/>
    </row>
    <row r="14" spans="1:5" x14ac:dyDescent="0.25">
      <c r="B14" s="30"/>
      <c r="C14" s="30"/>
      <c r="D14" s="30"/>
      <c r="E14" s="30"/>
    </row>
    <row r="15" spans="1:5" x14ac:dyDescent="0.25">
      <c r="B15" s="30"/>
      <c r="C15" s="30"/>
      <c r="D15" s="30"/>
      <c r="E15" s="30"/>
    </row>
    <row r="16" spans="1:5" x14ac:dyDescent="0.25">
      <c r="B16" s="30"/>
      <c r="C16" s="30"/>
      <c r="D16" s="30"/>
      <c r="E16" s="30"/>
    </row>
    <row r="17" spans="1:5" x14ac:dyDescent="0.25">
      <c r="B17" s="30"/>
      <c r="C17" s="30"/>
      <c r="D17" s="30"/>
      <c r="E17" s="30"/>
    </row>
    <row r="18" spans="1:5" x14ac:dyDescent="0.25">
      <c r="B18" s="25"/>
      <c r="C18" s="25"/>
      <c r="D18" s="25"/>
      <c r="E18" s="25"/>
    </row>
    <row r="19" spans="1:5" x14ac:dyDescent="0.25">
      <c r="A19" s="23">
        <f>IF(AND(Sheet4!B19=Sheet1!J$5,Sheet4!C19=Sheet1!K$5),1,0)</f>
        <v>0</v>
      </c>
      <c r="B19" s="25" t="s">
        <v>215</v>
      </c>
      <c r="C19" s="25">
        <v>4</v>
      </c>
      <c r="D19" s="39" t="s">
        <v>132</v>
      </c>
      <c r="E19" s="25" t="s">
        <v>216</v>
      </c>
    </row>
    <row r="20" spans="1:5" x14ac:dyDescent="0.25">
      <c r="B20" s="24" t="s">
        <v>28</v>
      </c>
      <c r="C20" s="24" t="s">
        <v>29</v>
      </c>
      <c r="D20" s="24" t="s">
        <v>30</v>
      </c>
      <c r="E20" s="24" t="s">
        <v>31</v>
      </c>
    </row>
    <row r="21" spans="1:5" x14ac:dyDescent="0.25">
      <c r="B21" s="30">
        <v>1</v>
      </c>
      <c r="C21" s="30" t="s">
        <v>133</v>
      </c>
      <c r="D21" s="30" t="s">
        <v>134</v>
      </c>
      <c r="E21" s="30">
        <v>1</v>
      </c>
    </row>
    <row r="22" spans="1:5" x14ac:dyDescent="0.25">
      <c r="B22" s="30">
        <v>2</v>
      </c>
      <c r="C22" s="30" t="s">
        <v>135</v>
      </c>
      <c r="D22" s="30" t="s">
        <v>136</v>
      </c>
      <c r="E22" s="30">
        <v>2</v>
      </c>
    </row>
    <row r="23" spans="1:5" x14ac:dyDescent="0.25">
      <c r="B23" s="30">
        <v>3</v>
      </c>
      <c r="C23" s="30" t="s">
        <v>123</v>
      </c>
      <c r="D23" s="30" t="s">
        <v>124</v>
      </c>
      <c r="E23" s="30">
        <v>2</v>
      </c>
    </row>
    <row r="24" spans="1:5" x14ac:dyDescent="0.25">
      <c r="B24" s="30">
        <v>4</v>
      </c>
      <c r="C24" s="30" t="s">
        <v>125</v>
      </c>
      <c r="D24" s="30" t="s">
        <v>217</v>
      </c>
      <c r="E24" s="30">
        <v>1</v>
      </c>
    </row>
    <row r="25" spans="1:5" x14ac:dyDescent="0.25">
      <c r="B25" s="30">
        <v>5</v>
      </c>
      <c r="C25" s="30" t="s">
        <v>127</v>
      </c>
      <c r="D25" s="30" t="s">
        <v>128</v>
      </c>
      <c r="E25" s="30">
        <v>1</v>
      </c>
    </row>
    <row r="26" spans="1:5" x14ac:dyDescent="0.25">
      <c r="B26" s="30">
        <v>6</v>
      </c>
      <c r="C26" s="30" t="s">
        <v>129</v>
      </c>
      <c r="D26" s="30" t="s">
        <v>130</v>
      </c>
      <c r="E26" s="30">
        <v>2</v>
      </c>
    </row>
    <row r="27" spans="1:5" x14ac:dyDescent="0.25">
      <c r="B27" s="30">
        <v>7</v>
      </c>
      <c r="C27" s="30" t="s">
        <v>54</v>
      </c>
      <c r="D27" s="30" t="s">
        <v>55</v>
      </c>
      <c r="E27" s="30">
        <v>1</v>
      </c>
    </row>
    <row r="28" spans="1:5" x14ac:dyDescent="0.25">
      <c r="B28" s="30">
        <v>8</v>
      </c>
      <c r="C28" s="30" t="s">
        <v>56</v>
      </c>
      <c r="D28" s="30" t="s">
        <v>57</v>
      </c>
      <c r="E28" s="30" t="s">
        <v>58</v>
      </c>
    </row>
    <row r="29" spans="1:5" x14ac:dyDescent="0.25">
      <c r="B29" s="30"/>
      <c r="C29" s="30"/>
      <c r="D29" s="30"/>
      <c r="E29" s="30"/>
    </row>
    <row r="30" spans="1:5" x14ac:dyDescent="0.25">
      <c r="B30" s="30"/>
      <c r="C30" s="30"/>
      <c r="D30" s="30"/>
      <c r="E30" s="30"/>
    </row>
    <row r="31" spans="1:5" x14ac:dyDescent="0.25">
      <c r="B31" s="30"/>
      <c r="C31" s="30"/>
      <c r="D31" s="30"/>
      <c r="E31" s="30"/>
    </row>
    <row r="32" spans="1:5" x14ac:dyDescent="0.25">
      <c r="B32" s="30"/>
      <c r="C32" s="30"/>
      <c r="D32" s="30"/>
      <c r="E32" s="30"/>
    </row>
    <row r="33" spans="1:5" x14ac:dyDescent="0.25">
      <c r="B33" s="30"/>
      <c r="C33" s="30"/>
      <c r="D33" s="30"/>
      <c r="E33" s="30"/>
    </row>
    <row r="34" spans="1:5" x14ac:dyDescent="0.25">
      <c r="B34" s="30"/>
      <c r="C34" s="30"/>
      <c r="D34" s="30"/>
      <c r="E34" s="30"/>
    </row>
    <row r="35" spans="1:5" x14ac:dyDescent="0.25">
      <c r="B35" s="25"/>
      <c r="C35" s="25"/>
      <c r="D35" s="25"/>
      <c r="E35" s="25"/>
    </row>
    <row r="36" spans="1:5" x14ac:dyDescent="0.25">
      <c r="A36" s="23">
        <f>IF(AND(Sheet4!B36=Sheet1!J$5,Sheet4!C36=Sheet1!K$5),1,0)</f>
        <v>0</v>
      </c>
      <c r="B36" s="25" t="s">
        <v>214</v>
      </c>
      <c r="C36" s="25">
        <v>8</v>
      </c>
      <c r="D36" s="39" t="s">
        <v>139</v>
      </c>
      <c r="E36" s="25" t="s">
        <v>216</v>
      </c>
    </row>
    <row r="37" spans="1:5" x14ac:dyDescent="0.25">
      <c r="B37" s="24" t="s">
        <v>28</v>
      </c>
      <c r="C37" s="24" t="s">
        <v>29</v>
      </c>
      <c r="D37" s="24" t="s">
        <v>30</v>
      </c>
      <c r="E37" s="24" t="s">
        <v>31</v>
      </c>
    </row>
    <row r="38" spans="1:5" x14ac:dyDescent="0.25">
      <c r="B38" s="30">
        <v>1</v>
      </c>
      <c r="C38" s="30" t="s">
        <v>140</v>
      </c>
      <c r="D38" s="30" t="s">
        <v>141</v>
      </c>
      <c r="E38" s="30">
        <v>1</v>
      </c>
    </row>
    <row r="39" spans="1:5" x14ac:dyDescent="0.25">
      <c r="B39" s="30">
        <v>2</v>
      </c>
      <c r="C39" s="30" t="s">
        <v>142</v>
      </c>
      <c r="D39" s="30" t="s">
        <v>143</v>
      </c>
      <c r="E39" s="30">
        <v>2</v>
      </c>
    </row>
    <row r="40" spans="1:5" x14ac:dyDescent="0.25">
      <c r="B40" s="30">
        <v>3</v>
      </c>
      <c r="C40" s="30" t="s">
        <v>137</v>
      </c>
      <c r="D40" s="30" t="s">
        <v>138</v>
      </c>
      <c r="E40" s="30">
        <v>1</v>
      </c>
    </row>
    <row r="41" spans="1:5" x14ac:dyDescent="0.25">
      <c r="B41" s="30">
        <v>4</v>
      </c>
      <c r="C41" s="30" t="s">
        <v>144</v>
      </c>
      <c r="D41" s="30" t="s">
        <v>145</v>
      </c>
      <c r="E41" s="30">
        <v>1</v>
      </c>
    </row>
    <row r="42" spans="1:5" x14ac:dyDescent="0.25">
      <c r="B42" s="30">
        <v>5</v>
      </c>
      <c r="C42" s="30" t="s">
        <v>146</v>
      </c>
      <c r="D42" s="30" t="s">
        <v>147</v>
      </c>
      <c r="E42" s="30">
        <v>2</v>
      </c>
    </row>
    <row r="43" spans="1:5" x14ac:dyDescent="0.25">
      <c r="B43" s="30">
        <v>6</v>
      </c>
      <c r="C43" s="30" t="s">
        <v>54</v>
      </c>
      <c r="D43" s="30" t="s">
        <v>55</v>
      </c>
      <c r="E43" s="30">
        <v>1</v>
      </c>
    </row>
    <row r="44" spans="1:5" x14ac:dyDescent="0.25">
      <c r="B44" s="30">
        <v>7</v>
      </c>
      <c r="C44" s="30" t="s">
        <v>56</v>
      </c>
      <c r="D44" s="30" t="s">
        <v>57</v>
      </c>
      <c r="E44" s="30" t="s">
        <v>58</v>
      </c>
    </row>
    <row r="45" spans="1:5" x14ac:dyDescent="0.25">
      <c r="B45" s="30"/>
      <c r="C45" s="30"/>
      <c r="D45" s="30"/>
      <c r="E45" s="30"/>
    </row>
    <row r="46" spans="1:5" x14ac:dyDescent="0.25">
      <c r="B46" s="30"/>
      <c r="C46" s="30"/>
      <c r="D46" s="30"/>
      <c r="E46" s="30"/>
    </row>
    <row r="47" spans="1:5" x14ac:dyDescent="0.25">
      <c r="B47" s="30"/>
      <c r="C47" s="30"/>
      <c r="D47" s="30"/>
      <c r="E47" s="30"/>
    </row>
    <row r="48" spans="1:5" x14ac:dyDescent="0.25">
      <c r="B48" s="30"/>
      <c r="C48" s="30"/>
      <c r="D48" s="30"/>
      <c r="E48" s="30"/>
    </row>
    <row r="49" spans="1:5" x14ac:dyDescent="0.25">
      <c r="B49" s="30"/>
      <c r="C49" s="30"/>
      <c r="D49" s="30"/>
      <c r="E49" s="30"/>
    </row>
    <row r="50" spans="1:5" x14ac:dyDescent="0.25">
      <c r="B50" s="30"/>
      <c r="C50" s="30"/>
      <c r="D50" s="30"/>
      <c r="E50" s="30"/>
    </row>
    <row r="51" spans="1:5" x14ac:dyDescent="0.25">
      <c r="B51" s="30"/>
      <c r="C51" s="30"/>
      <c r="D51" s="30"/>
      <c r="E51" s="30"/>
    </row>
    <row r="52" spans="1:5" x14ac:dyDescent="0.25">
      <c r="B52" s="25"/>
      <c r="C52" s="25"/>
      <c r="D52" s="25"/>
      <c r="E52" s="25"/>
    </row>
    <row r="53" spans="1:5" x14ac:dyDescent="0.25">
      <c r="A53" s="23">
        <f>IF(AND(Sheet4!B53=Sheet1!J$5,Sheet4!C53=Sheet1!K$5),1,0)</f>
        <v>0</v>
      </c>
      <c r="B53" s="25" t="s">
        <v>215</v>
      </c>
      <c r="C53" s="25">
        <v>8</v>
      </c>
      <c r="D53" s="39" t="s">
        <v>148</v>
      </c>
      <c r="E53" s="25" t="s">
        <v>216</v>
      </c>
    </row>
    <row r="54" spans="1:5" x14ac:dyDescent="0.25">
      <c r="B54" s="24" t="s">
        <v>28</v>
      </c>
      <c r="C54" s="24" t="s">
        <v>29</v>
      </c>
      <c r="D54" s="24" t="s">
        <v>30</v>
      </c>
      <c r="E54" s="24" t="s">
        <v>31</v>
      </c>
    </row>
    <row r="55" spans="1:5" x14ac:dyDescent="0.25">
      <c r="B55" s="30">
        <v>1</v>
      </c>
      <c r="C55" s="30" t="s">
        <v>149</v>
      </c>
      <c r="D55" s="30" t="s">
        <v>150</v>
      </c>
      <c r="E55" s="30">
        <v>1</v>
      </c>
    </row>
    <row r="56" spans="1:5" x14ac:dyDescent="0.25">
      <c r="B56" s="30">
        <v>2</v>
      </c>
      <c r="C56" s="30" t="s">
        <v>151</v>
      </c>
      <c r="D56" s="30" t="s">
        <v>152</v>
      </c>
      <c r="E56" s="30">
        <v>2</v>
      </c>
    </row>
    <row r="57" spans="1:5" x14ac:dyDescent="0.25">
      <c r="B57" s="30">
        <v>3</v>
      </c>
      <c r="C57" s="30" t="s">
        <v>142</v>
      </c>
      <c r="D57" s="30" t="s">
        <v>143</v>
      </c>
      <c r="E57" s="30">
        <v>2</v>
      </c>
    </row>
    <row r="58" spans="1:5" x14ac:dyDescent="0.25">
      <c r="B58" s="30">
        <v>4</v>
      </c>
      <c r="C58" s="30" t="s">
        <v>153</v>
      </c>
      <c r="D58" s="30" t="s">
        <v>154</v>
      </c>
      <c r="E58" s="30">
        <v>1</v>
      </c>
    </row>
    <row r="59" spans="1:5" x14ac:dyDescent="0.25">
      <c r="B59" s="30">
        <v>5</v>
      </c>
      <c r="C59" s="30" t="s">
        <v>144</v>
      </c>
      <c r="D59" s="30" t="s">
        <v>145</v>
      </c>
      <c r="E59" s="30">
        <v>1</v>
      </c>
    </row>
    <row r="60" spans="1:5" x14ac:dyDescent="0.25">
      <c r="B60" s="30">
        <v>6</v>
      </c>
      <c r="C60" s="30" t="s">
        <v>146</v>
      </c>
      <c r="D60" s="30" t="s">
        <v>147</v>
      </c>
      <c r="E60" s="30">
        <v>2</v>
      </c>
    </row>
    <row r="61" spans="1:5" x14ac:dyDescent="0.25">
      <c r="B61" s="30">
        <v>7</v>
      </c>
      <c r="C61" s="30" t="s">
        <v>54</v>
      </c>
      <c r="D61" s="30" t="s">
        <v>55</v>
      </c>
      <c r="E61" s="30">
        <v>1</v>
      </c>
    </row>
    <row r="62" spans="1:5" x14ac:dyDescent="0.25">
      <c r="B62" s="30">
        <v>8</v>
      </c>
      <c r="C62" s="30" t="s">
        <v>56</v>
      </c>
      <c r="D62" s="30" t="s">
        <v>57</v>
      </c>
      <c r="E62" s="30" t="s">
        <v>58</v>
      </c>
    </row>
    <row r="63" spans="1:5" x14ac:dyDescent="0.25">
      <c r="B63" s="30"/>
      <c r="C63" s="30"/>
      <c r="D63" s="30"/>
      <c r="E63" s="30"/>
    </row>
    <row r="64" spans="1:5" x14ac:dyDescent="0.25">
      <c r="B64" s="30"/>
      <c r="C64" s="30"/>
      <c r="D64" s="30"/>
      <c r="E64" s="30"/>
    </row>
    <row r="65" spans="1:5" x14ac:dyDescent="0.25">
      <c r="B65" s="30"/>
      <c r="C65" s="30"/>
      <c r="D65" s="30"/>
      <c r="E65" s="30"/>
    </row>
    <row r="66" spans="1:5" x14ac:dyDescent="0.25">
      <c r="B66" s="30"/>
      <c r="C66" s="30"/>
      <c r="D66" s="30"/>
      <c r="E66" s="30"/>
    </row>
    <row r="67" spans="1:5" x14ac:dyDescent="0.25">
      <c r="B67" s="30"/>
      <c r="C67" s="30"/>
      <c r="D67" s="30"/>
      <c r="E67" s="30"/>
    </row>
    <row r="68" spans="1:5" x14ac:dyDescent="0.25">
      <c r="B68" s="30"/>
      <c r="C68" s="30"/>
      <c r="D68" s="30"/>
      <c r="E68" s="30"/>
    </row>
    <row r="69" spans="1:5" x14ac:dyDescent="0.25">
      <c r="B69" s="25"/>
      <c r="C69" s="25"/>
      <c r="D69" s="25"/>
      <c r="E69" s="25"/>
    </row>
    <row r="70" spans="1:5" x14ac:dyDescent="0.25">
      <c r="A70" s="23">
        <f>IF(AND(Sheet4!B70=Sheet1!J$5,Sheet4!C70=Sheet1!K$5),1,0)</f>
        <v>0</v>
      </c>
      <c r="B70" s="25" t="s">
        <v>214</v>
      </c>
      <c r="C70" s="25">
        <v>8</v>
      </c>
      <c r="D70" s="39" t="s">
        <v>155</v>
      </c>
      <c r="E70" s="25" t="s">
        <v>218</v>
      </c>
    </row>
    <row r="71" spans="1:5" x14ac:dyDescent="0.25">
      <c r="B71" s="24" t="s">
        <v>28</v>
      </c>
      <c r="C71" s="24" t="s">
        <v>29</v>
      </c>
      <c r="D71" s="24" t="s">
        <v>30</v>
      </c>
      <c r="E71" s="24" t="s">
        <v>31</v>
      </c>
    </row>
    <row r="72" spans="1:5" x14ac:dyDescent="0.25">
      <c r="B72" s="30">
        <v>1</v>
      </c>
      <c r="C72" s="30" t="s">
        <v>140</v>
      </c>
      <c r="D72" s="30" t="s">
        <v>141</v>
      </c>
      <c r="E72" s="30">
        <v>1</v>
      </c>
    </row>
    <row r="73" spans="1:5" x14ac:dyDescent="0.25">
      <c r="B73" s="30">
        <v>2</v>
      </c>
      <c r="C73" s="30" t="s">
        <v>142</v>
      </c>
      <c r="D73" s="30" t="s">
        <v>143</v>
      </c>
      <c r="E73" s="30">
        <v>2</v>
      </c>
    </row>
    <row r="74" spans="1:5" x14ac:dyDescent="0.25">
      <c r="B74" s="30">
        <v>3</v>
      </c>
      <c r="C74" s="30" t="s">
        <v>38</v>
      </c>
      <c r="D74" s="30" t="s">
        <v>39</v>
      </c>
      <c r="E74" s="30">
        <v>6</v>
      </c>
    </row>
    <row r="75" spans="1:5" x14ac:dyDescent="0.25">
      <c r="B75" s="30">
        <v>4</v>
      </c>
      <c r="C75" s="30" t="s">
        <v>40</v>
      </c>
      <c r="D75" s="30" t="s">
        <v>41</v>
      </c>
      <c r="E75" s="30">
        <v>6</v>
      </c>
    </row>
    <row r="76" spans="1:5" x14ac:dyDescent="0.25">
      <c r="B76" s="30">
        <v>5</v>
      </c>
      <c r="C76" s="30" t="s">
        <v>153</v>
      </c>
      <c r="D76" s="30" t="s">
        <v>154</v>
      </c>
      <c r="E76" s="30">
        <v>1</v>
      </c>
    </row>
    <row r="77" spans="1:5" x14ac:dyDescent="0.25">
      <c r="B77" s="30">
        <v>6</v>
      </c>
      <c r="C77" s="30" t="s">
        <v>49</v>
      </c>
      <c r="D77" s="30" t="s">
        <v>50</v>
      </c>
      <c r="E77" s="30">
        <v>1</v>
      </c>
    </row>
    <row r="78" spans="1:5" x14ac:dyDescent="0.25">
      <c r="B78" s="30">
        <v>7</v>
      </c>
      <c r="C78" s="30" t="s">
        <v>156</v>
      </c>
      <c r="D78" s="30" t="s">
        <v>157</v>
      </c>
      <c r="E78" s="30">
        <v>2</v>
      </c>
    </row>
    <row r="79" spans="1:5" x14ac:dyDescent="0.25">
      <c r="B79" s="30">
        <v>8</v>
      </c>
      <c r="C79" s="30" t="s">
        <v>54</v>
      </c>
      <c r="D79" s="30" t="s">
        <v>55</v>
      </c>
      <c r="E79" s="30">
        <v>1</v>
      </c>
    </row>
    <row r="80" spans="1:5" x14ac:dyDescent="0.25">
      <c r="B80" s="30">
        <v>9</v>
      </c>
      <c r="C80" s="30" t="s">
        <v>56</v>
      </c>
      <c r="D80" s="30" t="s">
        <v>57</v>
      </c>
      <c r="E80" s="30" t="s">
        <v>58</v>
      </c>
    </row>
    <row r="81" spans="1:5" x14ac:dyDescent="0.25">
      <c r="B81" s="30"/>
      <c r="C81" s="30"/>
      <c r="D81" s="30"/>
      <c r="E81" s="30"/>
    </row>
    <row r="82" spans="1:5" x14ac:dyDescent="0.25">
      <c r="B82" s="30"/>
      <c r="C82" s="30"/>
      <c r="D82" s="30"/>
      <c r="E82" s="30"/>
    </row>
    <row r="83" spans="1:5" x14ac:dyDescent="0.25">
      <c r="B83" s="30"/>
      <c r="C83" s="30"/>
      <c r="D83" s="30"/>
      <c r="E83" s="30"/>
    </row>
    <row r="84" spans="1:5" x14ac:dyDescent="0.25">
      <c r="B84" s="30"/>
      <c r="C84" s="30"/>
      <c r="D84" s="30"/>
      <c r="E84" s="30"/>
    </row>
    <row r="85" spans="1:5" x14ac:dyDescent="0.25">
      <c r="B85" s="30"/>
      <c r="C85" s="30"/>
      <c r="D85" s="30"/>
      <c r="E85" s="30"/>
    </row>
    <row r="86" spans="1:5" x14ac:dyDescent="0.25">
      <c r="B86" s="25"/>
      <c r="C86" s="25"/>
      <c r="D86" s="25"/>
      <c r="E86" s="25"/>
    </row>
    <row r="87" spans="1:5" x14ac:dyDescent="0.25">
      <c r="A87" s="23">
        <f>IF(AND(Sheet4!B87=Sheet1!J$5,Sheet4!C87=Sheet1!K$5),1,0)</f>
        <v>0</v>
      </c>
      <c r="B87" s="25" t="s">
        <v>215</v>
      </c>
      <c r="C87" s="25">
        <v>8</v>
      </c>
      <c r="D87" s="39" t="s">
        <v>159</v>
      </c>
      <c r="E87" s="25" t="s">
        <v>218</v>
      </c>
    </row>
    <row r="88" spans="1:5" x14ac:dyDescent="0.25">
      <c r="B88" s="24" t="s">
        <v>28</v>
      </c>
      <c r="C88" s="24" t="s">
        <v>29</v>
      </c>
      <c r="D88" s="24" t="s">
        <v>30</v>
      </c>
      <c r="E88" s="24" t="s">
        <v>31</v>
      </c>
    </row>
    <row r="89" spans="1:5" x14ac:dyDescent="0.25">
      <c r="B89" s="30">
        <v>1</v>
      </c>
      <c r="C89" s="30" t="s">
        <v>149</v>
      </c>
      <c r="D89" s="30" t="s">
        <v>150</v>
      </c>
      <c r="E89" s="30">
        <v>1</v>
      </c>
    </row>
    <row r="90" spans="1:5" x14ac:dyDescent="0.25">
      <c r="B90" s="30">
        <v>2</v>
      </c>
      <c r="C90" s="30" t="s">
        <v>151</v>
      </c>
      <c r="D90" s="30" t="s">
        <v>152</v>
      </c>
      <c r="E90" s="30">
        <v>2</v>
      </c>
    </row>
    <row r="91" spans="1:5" x14ac:dyDescent="0.25">
      <c r="B91" s="30">
        <v>3</v>
      </c>
      <c r="C91" s="30" t="s">
        <v>142</v>
      </c>
      <c r="D91" s="30" t="s">
        <v>143</v>
      </c>
      <c r="E91" s="30">
        <v>2</v>
      </c>
    </row>
    <row r="92" spans="1:5" x14ac:dyDescent="0.25">
      <c r="B92" s="30">
        <v>4</v>
      </c>
      <c r="C92" s="30" t="s">
        <v>38</v>
      </c>
      <c r="D92" s="30" t="s">
        <v>39</v>
      </c>
      <c r="E92" s="30">
        <v>6</v>
      </c>
    </row>
    <row r="93" spans="1:5" x14ac:dyDescent="0.25">
      <c r="B93" s="30">
        <v>5</v>
      </c>
      <c r="C93" s="30" t="s">
        <v>40</v>
      </c>
      <c r="D93" s="30" t="s">
        <v>41</v>
      </c>
      <c r="E93" s="30">
        <v>6</v>
      </c>
    </row>
    <row r="94" spans="1:5" x14ac:dyDescent="0.25">
      <c r="B94" s="30">
        <v>6</v>
      </c>
      <c r="C94" s="30" t="s">
        <v>153</v>
      </c>
      <c r="D94" s="30" t="s">
        <v>154</v>
      </c>
      <c r="E94" s="30">
        <v>1</v>
      </c>
    </row>
    <row r="95" spans="1:5" x14ac:dyDescent="0.25">
      <c r="B95" s="30">
        <v>7</v>
      </c>
      <c r="C95" s="30" t="s">
        <v>49</v>
      </c>
      <c r="D95" s="30" t="s">
        <v>50</v>
      </c>
      <c r="E95" s="30">
        <v>1</v>
      </c>
    </row>
    <row r="96" spans="1:5" x14ac:dyDescent="0.25">
      <c r="B96" s="30">
        <v>8</v>
      </c>
      <c r="C96" s="30" t="s">
        <v>156</v>
      </c>
      <c r="D96" s="30" t="s">
        <v>157</v>
      </c>
      <c r="E96" s="30">
        <v>2</v>
      </c>
    </row>
    <row r="97" spans="1:5" x14ac:dyDescent="0.25">
      <c r="B97" s="30">
        <v>9</v>
      </c>
      <c r="C97" s="30" t="s">
        <v>54</v>
      </c>
      <c r="D97" s="30" t="s">
        <v>55</v>
      </c>
      <c r="E97" s="30">
        <v>1</v>
      </c>
    </row>
    <row r="98" spans="1:5" x14ac:dyDescent="0.25">
      <c r="B98" s="30">
        <v>10</v>
      </c>
      <c r="C98" s="30" t="s">
        <v>56</v>
      </c>
      <c r="D98" s="30" t="s">
        <v>57</v>
      </c>
      <c r="E98" s="30" t="s">
        <v>58</v>
      </c>
    </row>
    <row r="99" spans="1:5" x14ac:dyDescent="0.25">
      <c r="B99" s="30"/>
      <c r="C99" s="30"/>
      <c r="D99" s="30"/>
      <c r="E99" s="30"/>
    </row>
    <row r="100" spans="1:5" x14ac:dyDescent="0.25">
      <c r="B100" s="30"/>
      <c r="C100" s="30"/>
      <c r="D100" s="30"/>
      <c r="E100" s="30"/>
    </row>
    <row r="101" spans="1:5" x14ac:dyDescent="0.25">
      <c r="B101" s="30"/>
      <c r="C101" s="30"/>
      <c r="D101" s="30"/>
      <c r="E101" s="30"/>
    </row>
    <row r="102" spans="1:5" x14ac:dyDescent="0.25">
      <c r="B102" s="30"/>
      <c r="C102" s="30"/>
      <c r="D102" s="30"/>
      <c r="E102" s="30"/>
    </row>
    <row r="103" spans="1:5" x14ac:dyDescent="0.25">
      <c r="B103" s="25"/>
      <c r="C103" s="25"/>
      <c r="D103" s="25"/>
      <c r="E103" s="25"/>
    </row>
    <row r="104" spans="1:5" x14ac:dyDescent="0.25">
      <c r="A104" s="23">
        <f>IF(AND(Sheet4!B104=Sheet1!J$5,Sheet4!C104=Sheet1!K$5),1,0)</f>
        <v>0</v>
      </c>
      <c r="B104" s="25" t="s">
        <v>214</v>
      </c>
      <c r="C104" s="25">
        <v>12</v>
      </c>
      <c r="D104" s="39" t="s">
        <v>160</v>
      </c>
      <c r="E104" s="25" t="s">
        <v>216</v>
      </c>
    </row>
    <row r="105" spans="1:5" x14ac:dyDescent="0.25">
      <c r="B105" s="24" t="s">
        <v>28</v>
      </c>
      <c r="C105" s="24" t="s">
        <v>29</v>
      </c>
      <c r="D105" s="24" t="s">
        <v>30</v>
      </c>
      <c r="E105" s="24" t="s">
        <v>31</v>
      </c>
    </row>
    <row r="106" spans="1:5" x14ac:dyDescent="0.25">
      <c r="B106" s="30">
        <v>1</v>
      </c>
      <c r="C106" s="30" t="s">
        <v>127</v>
      </c>
      <c r="D106" s="30" t="s">
        <v>128</v>
      </c>
      <c r="E106" s="30">
        <v>1</v>
      </c>
    </row>
    <row r="107" spans="1:5" x14ac:dyDescent="0.25">
      <c r="B107" s="30">
        <v>2</v>
      </c>
      <c r="C107" s="30" t="s">
        <v>161</v>
      </c>
      <c r="D107" s="30" t="s">
        <v>162</v>
      </c>
      <c r="E107" s="30">
        <v>2</v>
      </c>
    </row>
    <row r="108" spans="1:5" x14ac:dyDescent="0.25">
      <c r="B108" s="30">
        <v>3</v>
      </c>
      <c r="C108" s="30" t="s">
        <v>153</v>
      </c>
      <c r="D108" s="30" t="s">
        <v>154</v>
      </c>
      <c r="E108" s="30">
        <v>1</v>
      </c>
    </row>
    <row r="109" spans="1:5" x14ac:dyDescent="0.25">
      <c r="B109" s="30">
        <v>4</v>
      </c>
      <c r="C109" s="30" t="s">
        <v>49</v>
      </c>
      <c r="D109" s="30" t="s">
        <v>50</v>
      </c>
      <c r="E109" s="30">
        <v>1</v>
      </c>
    </row>
    <row r="110" spans="1:5" x14ac:dyDescent="0.25">
      <c r="B110" s="30">
        <v>5</v>
      </c>
      <c r="C110" s="30" t="s">
        <v>163</v>
      </c>
      <c r="D110" s="30" t="s">
        <v>164</v>
      </c>
      <c r="E110" s="30">
        <v>2</v>
      </c>
    </row>
    <row r="111" spans="1:5" x14ac:dyDescent="0.25">
      <c r="B111" s="30">
        <v>6</v>
      </c>
      <c r="C111" s="30" t="s">
        <v>54</v>
      </c>
      <c r="D111" s="30" t="s">
        <v>55</v>
      </c>
      <c r="E111" s="30">
        <v>1</v>
      </c>
    </row>
    <row r="112" spans="1:5" x14ac:dyDescent="0.25">
      <c r="B112" s="30">
        <v>7</v>
      </c>
      <c r="C112" s="30" t="s">
        <v>56</v>
      </c>
      <c r="D112" s="30" t="s">
        <v>57</v>
      </c>
      <c r="E112" s="30" t="s">
        <v>58</v>
      </c>
    </row>
    <row r="113" spans="1:5" x14ac:dyDescent="0.25">
      <c r="B113" s="30"/>
      <c r="C113" s="30"/>
      <c r="D113" s="30"/>
      <c r="E113" s="30"/>
    </row>
    <row r="114" spans="1:5" x14ac:dyDescent="0.25">
      <c r="B114" s="30"/>
      <c r="C114" s="30"/>
      <c r="D114" s="30"/>
      <c r="E114" s="30"/>
    </row>
    <row r="115" spans="1:5" x14ac:dyDescent="0.25">
      <c r="B115" s="30"/>
      <c r="C115" s="30"/>
      <c r="D115" s="30"/>
      <c r="E115" s="30"/>
    </row>
    <row r="116" spans="1:5" x14ac:dyDescent="0.25">
      <c r="B116" s="30"/>
      <c r="C116" s="30"/>
      <c r="D116" s="30"/>
      <c r="E116" s="30"/>
    </row>
    <row r="117" spans="1:5" x14ac:dyDescent="0.25">
      <c r="B117" s="30"/>
      <c r="C117" s="30"/>
      <c r="D117" s="30"/>
      <c r="E117" s="30"/>
    </row>
    <row r="118" spans="1:5" x14ac:dyDescent="0.25">
      <c r="B118" s="30"/>
      <c r="C118" s="30"/>
      <c r="D118" s="30"/>
      <c r="E118" s="30"/>
    </row>
    <row r="119" spans="1:5" x14ac:dyDescent="0.25">
      <c r="B119" s="30"/>
      <c r="C119" s="30"/>
      <c r="D119" s="30"/>
      <c r="E119" s="30"/>
    </row>
    <row r="120" spans="1:5" x14ac:dyDescent="0.25">
      <c r="B120" s="25"/>
      <c r="C120" s="25"/>
      <c r="D120" s="25"/>
      <c r="E120" s="25"/>
    </row>
    <row r="121" spans="1:5" x14ac:dyDescent="0.25">
      <c r="A121" s="23">
        <f>IF(AND(Sheet4!B121=Sheet1!J$5,Sheet4!C121=Sheet1!K$5),1,0)</f>
        <v>0</v>
      </c>
      <c r="B121" s="25" t="s">
        <v>215</v>
      </c>
      <c r="C121" s="25">
        <v>12</v>
      </c>
      <c r="D121" s="39" t="s">
        <v>165</v>
      </c>
      <c r="E121" s="25" t="s">
        <v>216</v>
      </c>
    </row>
    <row r="122" spans="1:5" x14ac:dyDescent="0.25">
      <c r="B122" s="24" t="s">
        <v>28</v>
      </c>
      <c r="C122" s="24" t="s">
        <v>29</v>
      </c>
      <c r="D122" s="24" t="s">
        <v>30</v>
      </c>
      <c r="E122" s="24" t="s">
        <v>31</v>
      </c>
    </row>
    <row r="123" spans="1:5" x14ac:dyDescent="0.25">
      <c r="B123" s="30">
        <v>1</v>
      </c>
      <c r="C123" s="30" t="s">
        <v>166</v>
      </c>
      <c r="D123" s="30" t="s">
        <v>167</v>
      </c>
      <c r="E123" s="30">
        <v>1</v>
      </c>
    </row>
    <row r="124" spans="1:5" x14ac:dyDescent="0.25">
      <c r="B124" s="30">
        <v>2</v>
      </c>
      <c r="C124" s="30" t="s">
        <v>168</v>
      </c>
      <c r="D124" s="30" t="s">
        <v>169</v>
      </c>
      <c r="E124" s="30">
        <v>2</v>
      </c>
    </row>
    <row r="125" spans="1:5" x14ac:dyDescent="0.25">
      <c r="B125" s="30">
        <v>3</v>
      </c>
      <c r="C125" s="30" t="s">
        <v>161</v>
      </c>
      <c r="D125" s="30" t="s">
        <v>162</v>
      </c>
      <c r="E125" s="30">
        <v>2</v>
      </c>
    </row>
    <row r="126" spans="1:5" x14ac:dyDescent="0.25">
      <c r="B126" s="30">
        <v>4</v>
      </c>
      <c r="C126" s="30" t="s">
        <v>47</v>
      </c>
      <c r="D126" s="30" t="s">
        <v>48</v>
      </c>
      <c r="E126" s="30">
        <v>1</v>
      </c>
    </row>
    <row r="127" spans="1:5" x14ac:dyDescent="0.25">
      <c r="B127" s="30">
        <v>5</v>
      </c>
      <c r="C127" s="30" t="s">
        <v>49</v>
      </c>
      <c r="D127" s="30" t="s">
        <v>50</v>
      </c>
      <c r="E127" s="30">
        <v>1</v>
      </c>
    </row>
    <row r="128" spans="1:5" x14ac:dyDescent="0.25">
      <c r="B128" s="30">
        <v>6</v>
      </c>
      <c r="C128" s="30" t="s">
        <v>163</v>
      </c>
      <c r="D128" s="30" t="s">
        <v>164</v>
      </c>
      <c r="E128" s="30">
        <v>2</v>
      </c>
    </row>
    <row r="129" spans="1:5" x14ac:dyDescent="0.25">
      <c r="B129" s="30">
        <v>7</v>
      </c>
      <c r="C129" s="30" t="s">
        <v>54</v>
      </c>
      <c r="D129" s="30" t="s">
        <v>55</v>
      </c>
      <c r="E129" s="30">
        <v>1</v>
      </c>
    </row>
    <row r="130" spans="1:5" x14ac:dyDescent="0.25">
      <c r="B130" s="30">
        <v>8</v>
      </c>
      <c r="C130" s="30" t="s">
        <v>56</v>
      </c>
      <c r="D130" s="30" t="s">
        <v>57</v>
      </c>
      <c r="E130" s="30" t="s">
        <v>58</v>
      </c>
    </row>
    <row r="131" spans="1:5" x14ac:dyDescent="0.25">
      <c r="B131" s="30"/>
      <c r="C131" s="30"/>
      <c r="D131" s="30"/>
      <c r="E131" s="30"/>
    </row>
    <row r="132" spans="1:5" x14ac:dyDescent="0.25">
      <c r="B132" s="30"/>
      <c r="C132" s="30"/>
      <c r="D132" s="30"/>
      <c r="E132" s="30"/>
    </row>
    <row r="133" spans="1:5" x14ac:dyDescent="0.25">
      <c r="B133" s="30"/>
      <c r="C133" s="30"/>
      <c r="D133" s="30"/>
      <c r="E133" s="30"/>
    </row>
    <row r="134" spans="1:5" x14ac:dyDescent="0.25">
      <c r="B134" s="30"/>
      <c r="C134" s="30"/>
      <c r="D134" s="30"/>
      <c r="E134" s="30"/>
    </row>
    <row r="135" spans="1:5" x14ac:dyDescent="0.25">
      <c r="B135" s="30"/>
      <c r="C135" s="30"/>
      <c r="D135" s="30"/>
      <c r="E135" s="30"/>
    </row>
    <row r="136" spans="1:5" x14ac:dyDescent="0.25">
      <c r="B136" s="30"/>
      <c r="C136" s="30"/>
      <c r="D136" s="30"/>
      <c r="E136" s="30"/>
    </row>
    <row r="137" spans="1:5" x14ac:dyDescent="0.25">
      <c r="B137" s="25"/>
      <c r="C137" s="25"/>
      <c r="D137" s="25"/>
      <c r="E137" s="25"/>
    </row>
    <row r="138" spans="1:5" x14ac:dyDescent="0.25">
      <c r="A138" s="23">
        <f>IF(AND(Sheet4!B138=Sheet1!J$5,Sheet4!C138=Sheet1!K$5),1,0)</f>
        <v>0</v>
      </c>
      <c r="B138" s="25" t="s">
        <v>214</v>
      </c>
      <c r="C138" s="25">
        <v>12</v>
      </c>
      <c r="D138" s="39" t="s">
        <v>170</v>
      </c>
      <c r="E138" s="25" t="s">
        <v>218</v>
      </c>
    </row>
    <row r="139" spans="1:5" x14ac:dyDescent="0.25">
      <c r="B139" s="24" t="s">
        <v>28</v>
      </c>
      <c r="C139" s="24" t="s">
        <v>29</v>
      </c>
      <c r="D139" s="24" t="s">
        <v>30</v>
      </c>
      <c r="E139" s="24" t="s">
        <v>31</v>
      </c>
    </row>
    <row r="140" spans="1:5" x14ac:dyDescent="0.25">
      <c r="B140" s="30">
        <v>1</v>
      </c>
      <c r="C140" s="30" t="s">
        <v>127</v>
      </c>
      <c r="D140" s="30" t="s">
        <v>128</v>
      </c>
      <c r="E140" s="30">
        <v>1</v>
      </c>
    </row>
    <row r="141" spans="1:5" x14ac:dyDescent="0.25">
      <c r="B141" s="30">
        <v>2</v>
      </c>
      <c r="C141" s="30" t="s">
        <v>161</v>
      </c>
      <c r="D141" s="30" t="s">
        <v>162</v>
      </c>
      <c r="E141" s="30">
        <v>2</v>
      </c>
    </row>
    <row r="142" spans="1:5" x14ac:dyDescent="0.25">
      <c r="B142" s="30">
        <v>3</v>
      </c>
      <c r="C142" s="30" t="s">
        <v>171</v>
      </c>
      <c r="D142" s="30" t="s">
        <v>172</v>
      </c>
      <c r="E142" s="30">
        <v>6</v>
      </c>
    </row>
    <row r="143" spans="1:5" x14ac:dyDescent="0.25">
      <c r="B143" s="30">
        <v>4</v>
      </c>
      <c r="C143" s="30" t="s">
        <v>173</v>
      </c>
      <c r="D143" s="30" t="s">
        <v>174</v>
      </c>
      <c r="E143" s="30">
        <v>6</v>
      </c>
    </row>
    <row r="144" spans="1:5" x14ac:dyDescent="0.25">
      <c r="B144" s="30">
        <v>5</v>
      </c>
      <c r="C144" s="30" t="s">
        <v>47</v>
      </c>
      <c r="D144" s="30" t="s">
        <v>48</v>
      </c>
      <c r="E144" s="30">
        <v>1</v>
      </c>
    </row>
    <row r="145" spans="1:5" x14ac:dyDescent="0.25">
      <c r="B145" s="30">
        <v>6</v>
      </c>
      <c r="C145" s="30" t="s">
        <v>175</v>
      </c>
      <c r="D145" s="30" t="s">
        <v>176</v>
      </c>
      <c r="E145" s="30">
        <v>1</v>
      </c>
    </row>
    <row r="146" spans="1:5" x14ac:dyDescent="0.25">
      <c r="B146" s="30">
        <v>7</v>
      </c>
      <c r="C146" s="30" t="s">
        <v>177</v>
      </c>
      <c r="D146" s="30" t="s">
        <v>178</v>
      </c>
      <c r="E146" s="30">
        <v>2</v>
      </c>
    </row>
    <row r="147" spans="1:5" x14ac:dyDescent="0.25">
      <c r="B147" s="30">
        <v>8</v>
      </c>
      <c r="C147" s="30" t="s">
        <v>54</v>
      </c>
      <c r="D147" s="30" t="s">
        <v>55</v>
      </c>
      <c r="E147" s="30">
        <v>1</v>
      </c>
    </row>
    <row r="148" spans="1:5" x14ac:dyDescent="0.25">
      <c r="B148" s="30">
        <v>9</v>
      </c>
      <c r="C148" s="30" t="s">
        <v>56</v>
      </c>
      <c r="D148" s="30" t="s">
        <v>57</v>
      </c>
      <c r="E148" s="30" t="s">
        <v>58</v>
      </c>
    </row>
    <row r="149" spans="1:5" x14ac:dyDescent="0.25">
      <c r="B149" s="30"/>
      <c r="C149" s="30"/>
      <c r="D149" s="30"/>
      <c r="E149" s="30"/>
    </row>
    <row r="150" spans="1:5" x14ac:dyDescent="0.25">
      <c r="B150" s="30"/>
      <c r="C150" s="30"/>
      <c r="D150" s="30"/>
      <c r="E150" s="30"/>
    </row>
    <row r="151" spans="1:5" x14ac:dyDescent="0.25">
      <c r="B151" s="30"/>
      <c r="C151" s="30"/>
      <c r="D151" s="30"/>
      <c r="E151" s="30"/>
    </row>
    <row r="152" spans="1:5" x14ac:dyDescent="0.25">
      <c r="B152" s="30"/>
      <c r="C152" s="30"/>
      <c r="D152" s="30"/>
      <c r="E152" s="30"/>
    </row>
    <row r="153" spans="1:5" x14ac:dyDescent="0.25">
      <c r="B153" s="30"/>
      <c r="C153" s="30"/>
      <c r="D153" s="30"/>
      <c r="E153" s="30"/>
    </row>
    <row r="154" spans="1:5" x14ac:dyDescent="0.25">
      <c r="B154" s="25"/>
      <c r="C154" s="25"/>
      <c r="D154" s="25"/>
      <c r="E154" s="25"/>
    </row>
    <row r="155" spans="1:5" x14ac:dyDescent="0.25">
      <c r="A155" s="23">
        <f>IF(AND(Sheet4!B155=Sheet1!J$5,Sheet4!C155=Sheet1!K$5),1,0)</f>
        <v>0</v>
      </c>
      <c r="B155" s="25" t="s">
        <v>215</v>
      </c>
      <c r="C155" s="25">
        <v>12</v>
      </c>
      <c r="D155" s="39" t="s">
        <v>179</v>
      </c>
      <c r="E155" s="25" t="s">
        <v>218</v>
      </c>
    </row>
    <row r="156" spans="1:5" x14ac:dyDescent="0.25">
      <c r="B156" s="24" t="s">
        <v>28</v>
      </c>
      <c r="C156" s="24" t="s">
        <v>29</v>
      </c>
      <c r="D156" s="24" t="s">
        <v>30</v>
      </c>
      <c r="E156" s="24" t="s">
        <v>31</v>
      </c>
    </row>
    <row r="157" spans="1:5" x14ac:dyDescent="0.25">
      <c r="B157" s="30">
        <v>1</v>
      </c>
      <c r="C157" s="30" t="s">
        <v>166</v>
      </c>
      <c r="D157" s="30" t="s">
        <v>167</v>
      </c>
      <c r="E157" s="30">
        <v>1</v>
      </c>
    </row>
    <row r="158" spans="1:5" x14ac:dyDescent="0.25">
      <c r="B158" s="30">
        <v>2</v>
      </c>
      <c r="C158" s="30" t="s">
        <v>168</v>
      </c>
      <c r="D158" s="30" t="s">
        <v>169</v>
      </c>
      <c r="E158" s="30">
        <v>2</v>
      </c>
    </row>
    <row r="159" spans="1:5" x14ac:dyDescent="0.25">
      <c r="B159" s="30">
        <v>3</v>
      </c>
      <c r="C159" s="30" t="s">
        <v>161</v>
      </c>
      <c r="D159" s="30" t="s">
        <v>162</v>
      </c>
      <c r="E159" s="30">
        <v>2</v>
      </c>
    </row>
    <row r="160" spans="1:5" x14ac:dyDescent="0.25">
      <c r="B160" s="30">
        <v>4</v>
      </c>
      <c r="C160" s="30" t="s">
        <v>171</v>
      </c>
      <c r="D160" s="30" t="s">
        <v>172</v>
      </c>
      <c r="E160" s="30">
        <v>6</v>
      </c>
    </row>
    <row r="161" spans="1:5" x14ac:dyDescent="0.25">
      <c r="B161" s="30">
        <v>5</v>
      </c>
      <c r="C161" s="30" t="s">
        <v>173</v>
      </c>
      <c r="D161" s="30" t="s">
        <v>174</v>
      </c>
      <c r="E161" s="30">
        <v>6</v>
      </c>
    </row>
    <row r="162" spans="1:5" x14ac:dyDescent="0.25">
      <c r="B162" s="30">
        <v>6</v>
      </c>
      <c r="C162" s="30" t="s">
        <v>47</v>
      </c>
      <c r="D162" s="30" t="s">
        <v>48</v>
      </c>
      <c r="E162" s="30">
        <v>1</v>
      </c>
    </row>
    <row r="163" spans="1:5" x14ac:dyDescent="0.25">
      <c r="B163" s="30">
        <v>7</v>
      </c>
      <c r="C163" s="30" t="s">
        <v>175</v>
      </c>
      <c r="D163" s="30" t="s">
        <v>176</v>
      </c>
      <c r="E163" s="30">
        <v>1</v>
      </c>
    </row>
    <row r="164" spans="1:5" x14ac:dyDescent="0.25">
      <c r="B164" s="30">
        <v>8</v>
      </c>
      <c r="C164" s="30" t="s">
        <v>177</v>
      </c>
      <c r="D164" s="30" t="s">
        <v>178</v>
      </c>
      <c r="E164" s="30">
        <v>2</v>
      </c>
    </row>
    <row r="165" spans="1:5" x14ac:dyDescent="0.25">
      <c r="B165" s="30">
        <v>9</v>
      </c>
      <c r="C165" s="30" t="s">
        <v>54</v>
      </c>
      <c r="D165" s="30" t="s">
        <v>55</v>
      </c>
      <c r="E165" s="30">
        <v>1</v>
      </c>
    </row>
    <row r="166" spans="1:5" x14ac:dyDescent="0.25">
      <c r="B166" s="30">
        <v>10</v>
      </c>
      <c r="C166" s="30" t="s">
        <v>56</v>
      </c>
      <c r="D166" s="30" t="s">
        <v>57</v>
      </c>
      <c r="E166" s="30" t="s">
        <v>58</v>
      </c>
    </row>
    <row r="167" spans="1:5" x14ac:dyDescent="0.25">
      <c r="B167" s="30"/>
      <c r="C167" s="30"/>
      <c r="D167" s="30"/>
      <c r="E167" s="30"/>
    </row>
    <row r="168" spans="1:5" x14ac:dyDescent="0.25">
      <c r="B168" s="30"/>
      <c r="C168" s="30"/>
      <c r="D168" s="30"/>
      <c r="E168" s="30"/>
    </row>
    <row r="169" spans="1:5" x14ac:dyDescent="0.25">
      <c r="B169" s="30"/>
      <c r="C169" s="30"/>
      <c r="D169" s="30"/>
      <c r="E169" s="30"/>
    </row>
    <row r="170" spans="1:5" x14ac:dyDescent="0.25">
      <c r="B170" s="30"/>
      <c r="C170" s="30"/>
      <c r="D170" s="30"/>
      <c r="E170" s="30"/>
    </row>
    <row r="171" spans="1:5" x14ac:dyDescent="0.25">
      <c r="B171" s="25"/>
      <c r="C171" s="25"/>
      <c r="D171" s="25"/>
      <c r="E171" s="25"/>
    </row>
    <row r="172" spans="1:5" x14ac:dyDescent="0.25">
      <c r="A172" s="23">
        <f>IF(AND(Sheet4!B172=Sheet1!J$5,Sheet4!C172=Sheet1!K$5),1,0)</f>
        <v>0</v>
      </c>
      <c r="B172" s="25" t="s">
        <v>214</v>
      </c>
      <c r="C172" s="25">
        <v>16</v>
      </c>
      <c r="D172" s="39" t="s">
        <v>180</v>
      </c>
      <c r="E172" s="25" t="s">
        <v>216</v>
      </c>
    </row>
    <row r="173" spans="1:5" x14ac:dyDescent="0.25">
      <c r="B173" s="24" t="s">
        <v>28</v>
      </c>
      <c r="C173" s="24" t="s">
        <v>29</v>
      </c>
      <c r="D173" s="24" t="s">
        <v>30</v>
      </c>
      <c r="E173" s="24" t="s">
        <v>31</v>
      </c>
    </row>
    <row r="174" spans="1:5" x14ac:dyDescent="0.25">
      <c r="B174" s="30">
        <v>1</v>
      </c>
      <c r="C174" s="30" t="s">
        <v>144</v>
      </c>
      <c r="D174" s="30" t="s">
        <v>145</v>
      </c>
      <c r="E174" s="30">
        <v>1</v>
      </c>
    </row>
    <row r="175" spans="1:5" x14ac:dyDescent="0.25">
      <c r="B175" s="30">
        <v>2</v>
      </c>
      <c r="C175" s="30" t="s">
        <v>181</v>
      </c>
      <c r="D175" s="30" t="s">
        <v>182</v>
      </c>
      <c r="E175" s="30">
        <v>2</v>
      </c>
    </row>
    <row r="176" spans="1:5" x14ac:dyDescent="0.25">
      <c r="B176" s="30">
        <v>3</v>
      </c>
      <c r="C176" s="30" t="s">
        <v>47</v>
      </c>
      <c r="D176" s="30" t="s">
        <v>48</v>
      </c>
      <c r="E176" s="30">
        <v>1</v>
      </c>
    </row>
    <row r="177" spans="1:5" x14ac:dyDescent="0.25">
      <c r="B177" s="30">
        <v>4</v>
      </c>
      <c r="C177" s="30" t="s">
        <v>183</v>
      </c>
      <c r="D177" s="30" t="s">
        <v>184</v>
      </c>
      <c r="E177" s="30">
        <v>1</v>
      </c>
    </row>
    <row r="178" spans="1:5" x14ac:dyDescent="0.25">
      <c r="B178" s="30">
        <v>5</v>
      </c>
      <c r="C178" s="30" t="s">
        <v>185</v>
      </c>
      <c r="D178" s="30" t="s">
        <v>186</v>
      </c>
      <c r="E178" s="30">
        <v>2</v>
      </c>
    </row>
    <row r="179" spans="1:5" x14ac:dyDescent="0.25">
      <c r="B179" s="30">
        <v>6</v>
      </c>
      <c r="C179" s="30" t="s">
        <v>54</v>
      </c>
      <c r="D179" s="30" t="s">
        <v>55</v>
      </c>
      <c r="E179" s="30">
        <v>1</v>
      </c>
    </row>
    <row r="180" spans="1:5" x14ac:dyDescent="0.25">
      <c r="B180" s="30">
        <v>7</v>
      </c>
      <c r="C180" s="30" t="s">
        <v>56</v>
      </c>
      <c r="D180" s="30" t="s">
        <v>57</v>
      </c>
      <c r="E180" s="30" t="s">
        <v>58</v>
      </c>
    </row>
    <row r="181" spans="1:5" x14ac:dyDescent="0.25">
      <c r="B181" s="30"/>
      <c r="C181" s="30"/>
      <c r="D181" s="30"/>
      <c r="E181" s="30"/>
    </row>
    <row r="182" spans="1:5" x14ac:dyDescent="0.25">
      <c r="B182" s="30"/>
      <c r="C182" s="30"/>
      <c r="D182" s="30"/>
      <c r="E182" s="30"/>
    </row>
    <row r="183" spans="1:5" x14ac:dyDescent="0.25">
      <c r="B183" s="30"/>
      <c r="C183" s="30"/>
      <c r="D183" s="30"/>
      <c r="E183" s="30"/>
    </row>
    <row r="184" spans="1:5" x14ac:dyDescent="0.25">
      <c r="B184" s="30"/>
      <c r="C184" s="30"/>
      <c r="D184" s="30"/>
      <c r="E184" s="30"/>
    </row>
    <row r="185" spans="1:5" x14ac:dyDescent="0.25">
      <c r="B185" s="30"/>
      <c r="C185" s="30"/>
      <c r="D185" s="30"/>
      <c r="E185" s="30"/>
    </row>
    <row r="186" spans="1:5" x14ac:dyDescent="0.25">
      <c r="B186" s="30"/>
      <c r="C186" s="30"/>
      <c r="D186" s="30"/>
      <c r="E186" s="30"/>
    </row>
    <row r="187" spans="1:5" x14ac:dyDescent="0.25">
      <c r="B187" s="30"/>
      <c r="C187" s="30"/>
      <c r="D187" s="30"/>
      <c r="E187" s="30"/>
    </row>
    <row r="188" spans="1:5" x14ac:dyDescent="0.25">
      <c r="B188" s="25"/>
      <c r="C188" s="25"/>
      <c r="D188" s="25"/>
      <c r="E188" s="25"/>
    </row>
    <row r="189" spans="1:5" x14ac:dyDescent="0.25">
      <c r="A189" s="23">
        <f>IF(AND(Sheet4!B189=Sheet1!J$5,Sheet4!C189=Sheet1!K$5),1,0)</f>
        <v>0</v>
      </c>
      <c r="B189" s="25" t="s">
        <v>215</v>
      </c>
      <c r="C189" s="25">
        <v>16</v>
      </c>
      <c r="D189" s="39" t="s">
        <v>187</v>
      </c>
      <c r="E189" s="25" t="s">
        <v>216</v>
      </c>
    </row>
    <row r="190" spans="1:5" x14ac:dyDescent="0.25">
      <c r="B190" s="24" t="s">
        <v>28</v>
      </c>
      <c r="C190" s="24" t="s">
        <v>29</v>
      </c>
      <c r="D190" s="24" t="s">
        <v>30</v>
      </c>
      <c r="E190" s="24" t="s">
        <v>31</v>
      </c>
    </row>
    <row r="191" spans="1:5" x14ac:dyDescent="0.25">
      <c r="B191" s="30">
        <v>1</v>
      </c>
      <c r="C191" s="30" t="s">
        <v>188</v>
      </c>
      <c r="D191" s="30" t="s">
        <v>189</v>
      </c>
      <c r="E191" s="30">
        <v>1</v>
      </c>
    </row>
    <row r="192" spans="1:5" x14ac:dyDescent="0.25">
      <c r="B192" s="30">
        <v>2</v>
      </c>
      <c r="C192" s="30" t="s">
        <v>190</v>
      </c>
      <c r="D192" s="30" t="s">
        <v>191</v>
      </c>
      <c r="E192" s="30">
        <v>2</v>
      </c>
    </row>
    <row r="193" spans="1:5" x14ac:dyDescent="0.25">
      <c r="B193" s="30">
        <v>3</v>
      </c>
      <c r="C193" s="30" t="s">
        <v>181</v>
      </c>
      <c r="D193" s="30" t="s">
        <v>182</v>
      </c>
      <c r="E193" s="30">
        <v>2</v>
      </c>
    </row>
    <row r="194" spans="1:5" x14ac:dyDescent="0.25">
      <c r="B194" s="30">
        <v>4</v>
      </c>
      <c r="C194" s="30" t="s">
        <v>47</v>
      </c>
      <c r="D194" s="30" t="s">
        <v>48</v>
      </c>
      <c r="E194" s="30">
        <v>1</v>
      </c>
    </row>
    <row r="195" spans="1:5" x14ac:dyDescent="0.25">
      <c r="B195" s="30">
        <v>5</v>
      </c>
      <c r="C195" s="30" t="s">
        <v>183</v>
      </c>
      <c r="D195" s="30" t="s">
        <v>184</v>
      </c>
      <c r="E195" s="30">
        <v>1</v>
      </c>
    </row>
    <row r="196" spans="1:5" x14ac:dyDescent="0.25">
      <c r="B196" s="30">
        <v>6</v>
      </c>
      <c r="C196" s="30" t="s">
        <v>185</v>
      </c>
      <c r="D196" s="30" t="s">
        <v>186</v>
      </c>
      <c r="E196" s="30">
        <v>2</v>
      </c>
    </row>
    <row r="197" spans="1:5" x14ac:dyDescent="0.25">
      <c r="B197" s="30">
        <v>7</v>
      </c>
      <c r="C197" s="30" t="s">
        <v>54</v>
      </c>
      <c r="D197" s="30" t="s">
        <v>55</v>
      </c>
      <c r="E197" s="30">
        <v>1</v>
      </c>
    </row>
    <row r="198" spans="1:5" x14ac:dyDescent="0.25">
      <c r="B198" s="30">
        <v>8</v>
      </c>
      <c r="C198" s="30" t="s">
        <v>56</v>
      </c>
      <c r="D198" s="30" t="s">
        <v>57</v>
      </c>
      <c r="E198" s="30" t="s">
        <v>58</v>
      </c>
    </row>
    <row r="199" spans="1:5" x14ac:dyDescent="0.25">
      <c r="B199" s="30"/>
      <c r="C199" s="30"/>
      <c r="D199" s="30"/>
      <c r="E199" s="30"/>
    </row>
    <row r="200" spans="1:5" x14ac:dyDescent="0.25">
      <c r="B200" s="30"/>
      <c r="C200" s="30"/>
      <c r="D200" s="30"/>
      <c r="E200" s="30"/>
    </row>
    <row r="201" spans="1:5" x14ac:dyDescent="0.25">
      <c r="B201" s="30"/>
      <c r="C201" s="30"/>
      <c r="D201" s="30"/>
      <c r="E201" s="30"/>
    </row>
    <row r="202" spans="1:5" x14ac:dyDescent="0.25">
      <c r="B202" s="30"/>
      <c r="C202" s="30"/>
      <c r="D202" s="30"/>
      <c r="E202" s="30"/>
    </row>
    <row r="203" spans="1:5" x14ac:dyDescent="0.25">
      <c r="B203" s="30"/>
      <c r="C203" s="30"/>
      <c r="D203" s="30"/>
      <c r="E203" s="30"/>
    </row>
    <row r="204" spans="1:5" x14ac:dyDescent="0.25">
      <c r="B204" s="30"/>
      <c r="C204" s="30"/>
      <c r="D204" s="30"/>
      <c r="E204" s="30"/>
    </row>
    <row r="205" spans="1:5" x14ac:dyDescent="0.25">
      <c r="B205" s="25"/>
      <c r="C205" s="25"/>
      <c r="D205" s="25"/>
      <c r="E205" s="25"/>
    </row>
    <row r="206" spans="1:5" x14ac:dyDescent="0.25">
      <c r="A206" s="23">
        <f>IF(AND(Sheet4!B206=Sheet1!J$5,Sheet4!C206=Sheet1!K$5),1,0)</f>
        <v>0</v>
      </c>
      <c r="B206" s="25" t="s">
        <v>214</v>
      </c>
      <c r="C206" s="25">
        <v>16</v>
      </c>
      <c r="D206" s="39" t="s">
        <v>192</v>
      </c>
      <c r="E206" s="25" t="s">
        <v>218</v>
      </c>
    </row>
    <row r="207" spans="1:5" x14ac:dyDescent="0.25">
      <c r="B207" s="24" t="s">
        <v>28</v>
      </c>
      <c r="C207" s="24" t="s">
        <v>29</v>
      </c>
      <c r="D207" s="24" t="s">
        <v>30</v>
      </c>
      <c r="E207" s="24" t="s">
        <v>31</v>
      </c>
    </row>
    <row r="208" spans="1:5" x14ac:dyDescent="0.25">
      <c r="B208" s="30">
        <v>1</v>
      </c>
      <c r="C208" s="30" t="s">
        <v>144</v>
      </c>
      <c r="D208" s="30" t="s">
        <v>145</v>
      </c>
      <c r="E208" s="30">
        <v>1</v>
      </c>
    </row>
    <row r="209" spans="1:5" x14ac:dyDescent="0.25">
      <c r="B209" s="30">
        <v>2</v>
      </c>
      <c r="C209" s="30" t="s">
        <v>181</v>
      </c>
      <c r="D209" s="30" t="s">
        <v>182</v>
      </c>
      <c r="E209" s="30">
        <v>2</v>
      </c>
    </row>
    <row r="210" spans="1:5" x14ac:dyDescent="0.25">
      <c r="B210" s="30">
        <v>3</v>
      </c>
      <c r="C210" s="30" t="s">
        <v>193</v>
      </c>
      <c r="D210" s="30" t="s">
        <v>194</v>
      </c>
      <c r="E210" s="30">
        <v>6</v>
      </c>
    </row>
    <row r="211" spans="1:5" x14ac:dyDescent="0.25">
      <c r="B211" s="30">
        <v>4</v>
      </c>
      <c r="C211" s="30" t="s">
        <v>195</v>
      </c>
      <c r="D211" s="30" t="s">
        <v>196</v>
      </c>
      <c r="E211" s="30">
        <v>6</v>
      </c>
    </row>
    <row r="212" spans="1:5" x14ac:dyDescent="0.25">
      <c r="B212" s="30">
        <v>5</v>
      </c>
      <c r="C212" s="30" t="s">
        <v>47</v>
      </c>
      <c r="D212" s="30" t="s">
        <v>48</v>
      </c>
      <c r="E212" s="30">
        <v>1</v>
      </c>
    </row>
    <row r="213" spans="1:5" x14ac:dyDescent="0.25">
      <c r="B213" s="30">
        <v>6</v>
      </c>
      <c r="C213" s="30" t="s">
        <v>175</v>
      </c>
      <c r="D213" s="30" t="s">
        <v>176</v>
      </c>
      <c r="E213" s="30">
        <v>1</v>
      </c>
    </row>
    <row r="214" spans="1:5" x14ac:dyDescent="0.25">
      <c r="B214" s="30">
        <v>7</v>
      </c>
      <c r="C214" s="30" t="s">
        <v>197</v>
      </c>
      <c r="D214" s="30" t="s">
        <v>198</v>
      </c>
      <c r="E214" s="30">
        <v>2</v>
      </c>
    </row>
    <row r="215" spans="1:5" x14ac:dyDescent="0.25">
      <c r="B215" s="30">
        <v>8</v>
      </c>
      <c r="C215" s="30" t="s">
        <v>54</v>
      </c>
      <c r="D215" s="30" t="s">
        <v>55</v>
      </c>
      <c r="E215" s="30">
        <v>1</v>
      </c>
    </row>
    <row r="216" spans="1:5" x14ac:dyDescent="0.25">
      <c r="B216" s="30">
        <v>9</v>
      </c>
      <c r="C216" s="30" t="s">
        <v>56</v>
      </c>
      <c r="D216" s="30" t="s">
        <v>57</v>
      </c>
      <c r="E216" s="30" t="s">
        <v>58</v>
      </c>
    </row>
    <row r="217" spans="1:5" x14ac:dyDescent="0.25">
      <c r="B217" s="30"/>
      <c r="C217" s="30"/>
      <c r="D217" s="30"/>
      <c r="E217" s="30"/>
    </row>
    <row r="218" spans="1:5" x14ac:dyDescent="0.25">
      <c r="B218" s="30"/>
      <c r="C218" s="30"/>
      <c r="D218" s="30"/>
      <c r="E218" s="30"/>
    </row>
    <row r="219" spans="1:5" x14ac:dyDescent="0.25">
      <c r="B219" s="30"/>
      <c r="C219" s="30"/>
      <c r="D219" s="30"/>
      <c r="E219" s="30"/>
    </row>
    <row r="220" spans="1:5" x14ac:dyDescent="0.25">
      <c r="B220" s="30"/>
      <c r="C220" s="30"/>
      <c r="D220" s="30"/>
      <c r="E220" s="30"/>
    </row>
    <row r="221" spans="1:5" x14ac:dyDescent="0.25">
      <c r="B221" s="30"/>
      <c r="C221" s="30"/>
      <c r="D221" s="30"/>
      <c r="E221" s="30"/>
    </row>
    <row r="222" spans="1:5" x14ac:dyDescent="0.25">
      <c r="B222" s="25"/>
      <c r="C222" s="25"/>
      <c r="D222" s="25"/>
      <c r="E222" s="25"/>
    </row>
    <row r="223" spans="1:5" x14ac:dyDescent="0.25">
      <c r="A223" s="23">
        <f>IF(AND(Sheet4!B223=Sheet1!J$5,Sheet4!C223=Sheet1!K$5),1,0)</f>
        <v>0</v>
      </c>
      <c r="B223" s="25" t="s">
        <v>215</v>
      </c>
      <c r="C223" s="25">
        <v>16</v>
      </c>
      <c r="D223" s="39" t="s">
        <v>199</v>
      </c>
      <c r="E223" s="25" t="s">
        <v>218</v>
      </c>
    </row>
    <row r="224" spans="1:5" x14ac:dyDescent="0.25">
      <c r="B224" s="24" t="s">
        <v>28</v>
      </c>
      <c r="C224" s="24" t="s">
        <v>29</v>
      </c>
      <c r="D224" s="24" t="s">
        <v>30</v>
      </c>
      <c r="E224" s="24" t="s">
        <v>31</v>
      </c>
    </row>
    <row r="225" spans="2:5" x14ac:dyDescent="0.25">
      <c r="B225" s="30">
        <v>1</v>
      </c>
      <c r="C225" s="30" t="s">
        <v>188</v>
      </c>
      <c r="D225" s="30" t="s">
        <v>189</v>
      </c>
      <c r="E225" s="30">
        <v>1</v>
      </c>
    </row>
    <row r="226" spans="2:5" x14ac:dyDescent="0.25">
      <c r="B226" s="30">
        <v>2</v>
      </c>
      <c r="C226" s="30" t="s">
        <v>190</v>
      </c>
      <c r="D226" s="30" t="s">
        <v>191</v>
      </c>
      <c r="E226" s="30">
        <v>2</v>
      </c>
    </row>
    <row r="227" spans="2:5" x14ac:dyDescent="0.25">
      <c r="B227" s="30">
        <v>3</v>
      </c>
      <c r="C227" s="30" t="s">
        <v>181</v>
      </c>
      <c r="D227" s="30" t="s">
        <v>182</v>
      </c>
      <c r="E227" s="30">
        <v>2</v>
      </c>
    </row>
    <row r="228" spans="2:5" x14ac:dyDescent="0.25">
      <c r="B228" s="30">
        <v>4</v>
      </c>
      <c r="C228" s="30" t="s">
        <v>193</v>
      </c>
      <c r="D228" s="30" t="s">
        <v>194</v>
      </c>
      <c r="E228" s="30">
        <v>6</v>
      </c>
    </row>
    <row r="229" spans="2:5" x14ac:dyDescent="0.25">
      <c r="B229" s="30">
        <v>5</v>
      </c>
      <c r="C229" s="30" t="s">
        <v>195</v>
      </c>
      <c r="D229" s="30" t="s">
        <v>196</v>
      </c>
      <c r="E229" s="30">
        <v>6</v>
      </c>
    </row>
    <row r="230" spans="2:5" x14ac:dyDescent="0.25">
      <c r="B230" s="30">
        <v>6</v>
      </c>
      <c r="C230" s="30" t="s">
        <v>47</v>
      </c>
      <c r="D230" s="30" t="s">
        <v>48</v>
      </c>
      <c r="E230" s="30">
        <v>1</v>
      </c>
    </row>
    <row r="231" spans="2:5" x14ac:dyDescent="0.25">
      <c r="B231" s="30">
        <v>7</v>
      </c>
      <c r="C231" s="30" t="s">
        <v>175</v>
      </c>
      <c r="D231" s="30" t="s">
        <v>176</v>
      </c>
      <c r="E231" s="30">
        <v>1</v>
      </c>
    </row>
    <row r="232" spans="2:5" x14ac:dyDescent="0.25">
      <c r="B232" s="30">
        <v>8</v>
      </c>
      <c r="C232" s="30" t="s">
        <v>197</v>
      </c>
      <c r="D232" s="30" t="s">
        <v>198</v>
      </c>
      <c r="E232" s="30">
        <v>2</v>
      </c>
    </row>
    <row r="233" spans="2:5" x14ac:dyDescent="0.25">
      <c r="B233" s="30">
        <v>9</v>
      </c>
      <c r="C233" s="30" t="s">
        <v>54</v>
      </c>
      <c r="D233" s="30" t="s">
        <v>55</v>
      </c>
      <c r="E233" s="30">
        <v>1</v>
      </c>
    </row>
    <row r="234" spans="2:5" x14ac:dyDescent="0.25">
      <c r="B234" s="30">
        <v>10</v>
      </c>
      <c r="C234" s="30" t="s">
        <v>56</v>
      </c>
      <c r="D234" s="30" t="s">
        <v>57</v>
      </c>
      <c r="E234" s="30" t="s">
        <v>58</v>
      </c>
    </row>
    <row r="235" spans="2:5" x14ac:dyDescent="0.25">
      <c r="B235" s="30"/>
      <c r="C235" s="30"/>
      <c r="D235" s="30"/>
      <c r="E235" s="30"/>
    </row>
    <row r="236" spans="2:5" x14ac:dyDescent="0.25">
      <c r="B236" s="30"/>
      <c r="C236" s="30"/>
      <c r="D236" s="30"/>
      <c r="E236" s="30"/>
    </row>
    <row r="237" spans="2:5" x14ac:dyDescent="0.25">
      <c r="B237" s="30"/>
      <c r="C237" s="30"/>
      <c r="D237" s="30"/>
      <c r="E237" s="30"/>
    </row>
    <row r="238" spans="2:5" x14ac:dyDescent="0.25">
      <c r="B238" s="30"/>
      <c r="C238" s="30"/>
      <c r="D238" s="30"/>
      <c r="E238" s="30"/>
    </row>
    <row r="239" spans="2:5" x14ac:dyDescent="0.25">
      <c r="B239" s="25"/>
      <c r="C239" s="25"/>
      <c r="D239" s="25"/>
      <c r="E239" s="25"/>
    </row>
    <row r="240" spans="2:5" x14ac:dyDescent="0.25">
      <c r="B240" s="25"/>
      <c r="C240" s="25"/>
      <c r="D240" s="25"/>
      <c r="E240" s="25"/>
    </row>
    <row r="241" spans="1:5" x14ac:dyDescent="0.25">
      <c r="A241" s="23">
        <f>IF(AND(Sheet4!B241=Sheet1!J$5,Sheet4!C241=Sheet1!K$5),1,0)</f>
        <v>0</v>
      </c>
      <c r="B241" s="25" t="s">
        <v>214</v>
      </c>
      <c r="C241" s="25">
        <v>6</v>
      </c>
      <c r="D241" s="39" t="s">
        <v>200</v>
      </c>
      <c r="E241" s="25" t="s">
        <v>216</v>
      </c>
    </row>
    <row r="242" spans="1:5" x14ac:dyDescent="0.25">
      <c r="B242" s="24" t="s">
        <v>28</v>
      </c>
      <c r="C242" s="24" t="s">
        <v>29</v>
      </c>
      <c r="D242" s="24" t="s">
        <v>30</v>
      </c>
      <c r="E242" s="24" t="s">
        <v>31</v>
      </c>
    </row>
    <row r="243" spans="1:5" x14ac:dyDescent="0.25">
      <c r="B243" s="30">
        <v>1</v>
      </c>
      <c r="C243" s="30" t="s">
        <v>33</v>
      </c>
      <c r="D243" s="30" t="s">
        <v>34</v>
      </c>
      <c r="E243" s="30">
        <v>1</v>
      </c>
    </row>
    <row r="244" spans="1:5" x14ac:dyDescent="0.25">
      <c r="B244" s="30">
        <v>2</v>
      </c>
      <c r="C244" s="30" t="s">
        <v>35</v>
      </c>
      <c r="D244" s="30" t="s">
        <v>36</v>
      </c>
      <c r="E244" s="30">
        <v>2</v>
      </c>
    </row>
    <row r="245" spans="1:5" x14ac:dyDescent="0.25">
      <c r="B245" s="30">
        <v>3</v>
      </c>
      <c r="C245" s="30" t="s">
        <v>137</v>
      </c>
      <c r="D245" s="30" t="s">
        <v>138</v>
      </c>
      <c r="E245" s="30">
        <v>1</v>
      </c>
    </row>
    <row r="246" spans="1:5" x14ac:dyDescent="0.25">
      <c r="B246" s="30">
        <v>4</v>
      </c>
      <c r="C246" s="30" t="s">
        <v>127</v>
      </c>
      <c r="D246" s="30" t="s">
        <v>128</v>
      </c>
      <c r="E246" s="30">
        <v>1</v>
      </c>
    </row>
    <row r="247" spans="1:5" x14ac:dyDescent="0.25">
      <c r="B247" s="30">
        <v>5</v>
      </c>
      <c r="C247" s="30" t="s">
        <v>201</v>
      </c>
      <c r="D247" s="30" t="s">
        <v>202</v>
      </c>
      <c r="E247" s="30">
        <v>2</v>
      </c>
    </row>
    <row r="248" spans="1:5" x14ac:dyDescent="0.25">
      <c r="B248" s="30">
        <v>6</v>
      </c>
      <c r="C248" s="30" t="s">
        <v>54</v>
      </c>
      <c r="D248" s="30" t="s">
        <v>55</v>
      </c>
      <c r="E248" s="30">
        <v>1</v>
      </c>
    </row>
    <row r="249" spans="1:5" x14ac:dyDescent="0.25">
      <c r="B249" s="30">
        <v>7</v>
      </c>
      <c r="C249" s="30" t="s">
        <v>56</v>
      </c>
      <c r="D249" s="30" t="s">
        <v>57</v>
      </c>
      <c r="E249" s="30" t="s">
        <v>58</v>
      </c>
    </row>
    <row r="250" spans="1:5" x14ac:dyDescent="0.25">
      <c r="B250" s="30"/>
      <c r="C250" s="30"/>
      <c r="D250" s="30"/>
      <c r="E250" s="30"/>
    </row>
    <row r="251" spans="1:5" x14ac:dyDescent="0.25">
      <c r="B251" s="30"/>
      <c r="C251" s="30"/>
      <c r="D251" s="30"/>
      <c r="E251" s="30"/>
    </row>
    <row r="252" spans="1:5" x14ac:dyDescent="0.25">
      <c r="B252" s="30"/>
      <c r="C252" s="30"/>
      <c r="D252" s="30"/>
      <c r="E252" s="30"/>
    </row>
    <row r="253" spans="1:5" x14ac:dyDescent="0.25">
      <c r="B253" s="30"/>
      <c r="C253" s="30"/>
      <c r="D253" s="30"/>
      <c r="E253" s="30"/>
    </row>
    <row r="254" spans="1:5" x14ac:dyDescent="0.25">
      <c r="B254" s="30"/>
      <c r="C254" s="30"/>
      <c r="D254" s="30"/>
      <c r="E254" s="30"/>
    </row>
    <row r="255" spans="1:5" x14ac:dyDescent="0.25">
      <c r="B255" s="30"/>
      <c r="C255" s="30"/>
      <c r="D255" s="30"/>
      <c r="E255" s="30"/>
    </row>
    <row r="256" spans="1:5" x14ac:dyDescent="0.25">
      <c r="B256" s="30"/>
      <c r="C256" s="30"/>
      <c r="D256" s="30"/>
      <c r="E256" s="30"/>
    </row>
    <row r="257" spans="1:5" x14ac:dyDescent="0.25">
      <c r="B257" s="25"/>
      <c r="C257" s="25"/>
      <c r="D257" s="25"/>
      <c r="E257" s="25"/>
    </row>
    <row r="258" spans="1:5" x14ac:dyDescent="0.25">
      <c r="A258" s="23">
        <f>IF(AND(Sheet4!B258=Sheet1!J$5,Sheet4!C258=Sheet1!K$5),1,0)</f>
        <v>0</v>
      </c>
      <c r="B258" s="25" t="s">
        <v>215</v>
      </c>
      <c r="C258" s="25">
        <v>6</v>
      </c>
      <c r="D258" s="39" t="s">
        <v>203</v>
      </c>
      <c r="E258" s="25" t="s">
        <v>216</v>
      </c>
    </row>
    <row r="259" spans="1:5" x14ac:dyDescent="0.25">
      <c r="B259" s="24" t="s">
        <v>28</v>
      </c>
      <c r="C259" s="24" t="s">
        <v>29</v>
      </c>
      <c r="D259" s="24" t="s">
        <v>30</v>
      </c>
      <c r="E259" s="24" t="s">
        <v>31</v>
      </c>
    </row>
    <row r="260" spans="1:5" x14ac:dyDescent="0.25">
      <c r="B260" s="30">
        <v>1</v>
      </c>
      <c r="C260" s="30" t="s">
        <v>204</v>
      </c>
      <c r="D260" s="30" t="s">
        <v>205</v>
      </c>
      <c r="E260" s="30">
        <v>1</v>
      </c>
    </row>
    <row r="261" spans="1:5" x14ac:dyDescent="0.25">
      <c r="B261" s="30">
        <v>2</v>
      </c>
      <c r="C261" s="30" t="s">
        <v>206</v>
      </c>
      <c r="D261" s="30" t="s">
        <v>207</v>
      </c>
      <c r="E261" s="30">
        <v>2</v>
      </c>
    </row>
    <row r="262" spans="1:5" x14ac:dyDescent="0.25">
      <c r="B262" s="30">
        <v>3</v>
      </c>
      <c r="C262" s="30" t="s">
        <v>35</v>
      </c>
      <c r="D262" s="30" t="s">
        <v>36</v>
      </c>
      <c r="E262" s="30">
        <v>2</v>
      </c>
    </row>
    <row r="263" spans="1:5" x14ac:dyDescent="0.25">
      <c r="B263" s="30">
        <v>4</v>
      </c>
      <c r="C263" s="30" t="s">
        <v>153</v>
      </c>
      <c r="D263" s="30" t="s">
        <v>154</v>
      </c>
      <c r="E263" s="30">
        <v>1</v>
      </c>
    </row>
    <row r="264" spans="1:5" x14ac:dyDescent="0.25">
      <c r="B264" s="30">
        <v>5</v>
      </c>
      <c r="C264" s="30" t="s">
        <v>127</v>
      </c>
      <c r="D264" s="30" t="s">
        <v>128</v>
      </c>
      <c r="E264" s="30">
        <v>1</v>
      </c>
    </row>
    <row r="265" spans="1:5" x14ac:dyDescent="0.25">
      <c r="B265" s="30">
        <v>6</v>
      </c>
      <c r="C265" s="30" t="s">
        <v>201</v>
      </c>
      <c r="D265" s="30" t="s">
        <v>202</v>
      </c>
      <c r="E265" s="30">
        <v>2</v>
      </c>
    </row>
    <row r="266" spans="1:5" x14ac:dyDescent="0.25">
      <c r="B266" s="30">
        <v>7</v>
      </c>
      <c r="C266" s="30" t="s">
        <v>54</v>
      </c>
      <c r="D266" s="30" t="s">
        <v>55</v>
      </c>
      <c r="E266" s="30">
        <v>1</v>
      </c>
    </row>
    <row r="267" spans="1:5" x14ac:dyDescent="0.25">
      <c r="B267" s="30">
        <v>8</v>
      </c>
      <c r="C267" s="30" t="s">
        <v>56</v>
      </c>
      <c r="D267" s="30" t="s">
        <v>57</v>
      </c>
      <c r="E267" s="30" t="s">
        <v>58</v>
      </c>
    </row>
    <row r="268" spans="1:5" x14ac:dyDescent="0.25">
      <c r="B268" s="30"/>
      <c r="C268" s="30"/>
      <c r="D268" s="30"/>
      <c r="E268" s="30"/>
    </row>
    <row r="269" spans="1:5" x14ac:dyDescent="0.25">
      <c r="B269" s="30"/>
      <c r="C269" s="30"/>
      <c r="D269" s="30"/>
      <c r="E269" s="30"/>
    </row>
    <row r="270" spans="1:5" x14ac:dyDescent="0.25">
      <c r="B270" s="30"/>
      <c r="C270" s="30"/>
      <c r="D270" s="30"/>
      <c r="E270" s="30"/>
    </row>
    <row r="271" spans="1:5" x14ac:dyDescent="0.25">
      <c r="B271" s="30"/>
      <c r="C271" s="30"/>
      <c r="D271" s="30"/>
      <c r="E271" s="30"/>
    </row>
    <row r="272" spans="1:5" x14ac:dyDescent="0.25">
      <c r="B272" s="30"/>
      <c r="C272" s="30"/>
      <c r="D272" s="30"/>
      <c r="E272" s="30"/>
    </row>
    <row r="273" spans="1:5" x14ac:dyDescent="0.25">
      <c r="B273" s="30"/>
      <c r="C273" s="30"/>
      <c r="D273" s="30"/>
      <c r="E273" s="30"/>
    </row>
    <row r="274" spans="1:5" x14ac:dyDescent="0.25">
      <c r="B274" s="25"/>
      <c r="C274" s="25"/>
      <c r="D274" s="25"/>
      <c r="E274" s="25"/>
    </row>
    <row r="275" spans="1:5" x14ac:dyDescent="0.25">
      <c r="A275" s="23">
        <f>IF(AND(Sheet4!B275=Sheet1!J$5,Sheet4!C275=Sheet1!K$5),1,0)</f>
        <v>0</v>
      </c>
      <c r="B275" s="25" t="s">
        <v>214</v>
      </c>
      <c r="C275" s="25">
        <v>6</v>
      </c>
      <c r="D275" s="39" t="s">
        <v>24</v>
      </c>
      <c r="E275" s="25" t="s">
        <v>218</v>
      </c>
    </row>
    <row r="276" spans="1:5" x14ac:dyDescent="0.25">
      <c r="B276" s="24" t="s">
        <v>28</v>
      </c>
      <c r="C276" s="24" t="s">
        <v>29</v>
      </c>
      <c r="D276" s="24" t="s">
        <v>30</v>
      </c>
      <c r="E276" s="24" t="s">
        <v>31</v>
      </c>
    </row>
    <row r="277" spans="1:5" x14ac:dyDescent="0.25">
      <c r="B277" s="30">
        <v>1</v>
      </c>
      <c r="C277" s="30" t="s">
        <v>204</v>
      </c>
      <c r="D277" s="30" t="s">
        <v>205</v>
      </c>
      <c r="E277" s="30">
        <v>1</v>
      </c>
    </row>
    <row r="278" spans="1:5" x14ac:dyDescent="0.25">
      <c r="B278" s="30">
        <v>2</v>
      </c>
      <c r="C278" s="30" t="s">
        <v>35</v>
      </c>
      <c r="D278" s="30" t="s">
        <v>36</v>
      </c>
      <c r="E278" s="30">
        <v>2</v>
      </c>
    </row>
    <row r="279" spans="1:5" x14ac:dyDescent="0.25">
      <c r="B279" s="30">
        <v>3</v>
      </c>
      <c r="C279" s="30" t="s">
        <v>38</v>
      </c>
      <c r="D279" s="30" t="s">
        <v>39</v>
      </c>
      <c r="E279" s="30">
        <v>6</v>
      </c>
    </row>
    <row r="280" spans="1:5" x14ac:dyDescent="0.25">
      <c r="B280" s="30">
        <v>4</v>
      </c>
      <c r="C280" s="30" t="s">
        <v>40</v>
      </c>
      <c r="D280" s="30" t="s">
        <v>41</v>
      </c>
      <c r="E280" s="30">
        <v>6</v>
      </c>
    </row>
    <row r="281" spans="1:5" x14ac:dyDescent="0.25">
      <c r="B281" s="30">
        <v>5</v>
      </c>
      <c r="C281" s="30" t="s">
        <v>153</v>
      </c>
      <c r="D281" s="30" t="s">
        <v>154</v>
      </c>
      <c r="E281" s="30">
        <v>1</v>
      </c>
    </row>
    <row r="282" spans="1:5" x14ac:dyDescent="0.25">
      <c r="B282" s="30">
        <v>6</v>
      </c>
      <c r="C282" s="30" t="s">
        <v>49</v>
      </c>
      <c r="D282" s="30" t="s">
        <v>50</v>
      </c>
      <c r="E282" s="30">
        <v>1</v>
      </c>
    </row>
    <row r="283" spans="1:5" x14ac:dyDescent="0.25">
      <c r="B283" s="30">
        <v>7</v>
      </c>
      <c r="C283" s="30" t="s">
        <v>156</v>
      </c>
      <c r="D283" s="30" t="s">
        <v>157</v>
      </c>
      <c r="E283" s="30">
        <v>2</v>
      </c>
    </row>
    <row r="284" spans="1:5" x14ac:dyDescent="0.25">
      <c r="B284" s="30">
        <v>8</v>
      </c>
      <c r="C284" s="30" t="s">
        <v>54</v>
      </c>
      <c r="D284" s="30" t="s">
        <v>55</v>
      </c>
      <c r="E284" s="30">
        <v>1</v>
      </c>
    </row>
    <row r="285" spans="1:5" x14ac:dyDescent="0.25">
      <c r="B285" s="30">
        <v>9</v>
      </c>
      <c r="C285" s="30" t="s">
        <v>56</v>
      </c>
      <c r="D285" s="30" t="s">
        <v>57</v>
      </c>
      <c r="E285" s="30" t="s">
        <v>58</v>
      </c>
    </row>
    <row r="286" spans="1:5" x14ac:dyDescent="0.25">
      <c r="B286" s="30"/>
      <c r="C286" s="30"/>
      <c r="D286" s="30"/>
      <c r="E286" s="30"/>
    </row>
    <row r="287" spans="1:5" x14ac:dyDescent="0.25">
      <c r="B287" s="30"/>
      <c r="C287" s="30"/>
      <c r="D287" s="30"/>
      <c r="E287" s="30"/>
    </row>
    <row r="288" spans="1:5" x14ac:dyDescent="0.25">
      <c r="B288" s="30"/>
      <c r="C288" s="30"/>
      <c r="D288" s="30"/>
      <c r="E288" s="30"/>
    </row>
    <row r="289" spans="1:5" x14ac:dyDescent="0.25">
      <c r="B289" s="30"/>
      <c r="C289" s="30"/>
      <c r="D289" s="30"/>
      <c r="E289" s="30"/>
    </row>
    <row r="290" spans="1:5" x14ac:dyDescent="0.25">
      <c r="B290" s="30"/>
      <c r="C290" s="30"/>
      <c r="D290" s="30"/>
      <c r="E290" s="30"/>
    </row>
    <row r="291" spans="1:5" x14ac:dyDescent="0.25">
      <c r="B291" s="25"/>
      <c r="C291" s="25"/>
      <c r="D291" s="25"/>
      <c r="E291" s="25"/>
    </row>
    <row r="292" spans="1:5" x14ac:dyDescent="0.25">
      <c r="A292" s="23">
        <f>IF(AND(Sheet4!B292=Sheet1!J$5,Sheet4!C292=Sheet1!K$5),1,0)</f>
        <v>0</v>
      </c>
      <c r="B292" s="25" t="s">
        <v>158</v>
      </c>
      <c r="C292" s="25">
        <v>6</v>
      </c>
      <c r="D292" s="39" t="s">
        <v>208</v>
      </c>
      <c r="E292" s="25" t="s">
        <v>218</v>
      </c>
    </row>
    <row r="293" spans="1:5" x14ac:dyDescent="0.25">
      <c r="B293" s="24" t="s">
        <v>28</v>
      </c>
      <c r="C293" s="24" t="s">
        <v>29</v>
      </c>
      <c r="D293" s="24" t="s">
        <v>30</v>
      </c>
      <c r="E293" s="24" t="s">
        <v>31</v>
      </c>
    </row>
    <row r="294" spans="1:5" x14ac:dyDescent="0.25">
      <c r="B294" s="30">
        <v>1</v>
      </c>
      <c r="C294" s="30" t="s">
        <v>204</v>
      </c>
      <c r="D294" s="30" t="s">
        <v>205</v>
      </c>
      <c r="E294" s="30">
        <v>1</v>
      </c>
    </row>
    <row r="295" spans="1:5" x14ac:dyDescent="0.25">
      <c r="B295" s="30">
        <v>2</v>
      </c>
      <c r="C295" s="30" t="s">
        <v>206</v>
      </c>
      <c r="D295" s="30" t="s">
        <v>207</v>
      </c>
      <c r="E295" s="30">
        <v>2</v>
      </c>
    </row>
    <row r="296" spans="1:5" x14ac:dyDescent="0.25">
      <c r="B296" s="30">
        <v>3</v>
      </c>
      <c r="C296" s="30" t="s">
        <v>35</v>
      </c>
      <c r="D296" s="30" t="s">
        <v>36</v>
      </c>
      <c r="E296" s="30">
        <v>2</v>
      </c>
    </row>
    <row r="297" spans="1:5" x14ac:dyDescent="0.25">
      <c r="B297" s="30">
        <v>4</v>
      </c>
      <c r="C297" s="30" t="s">
        <v>38</v>
      </c>
      <c r="D297" s="30" t="s">
        <v>39</v>
      </c>
      <c r="E297" s="30">
        <v>6</v>
      </c>
    </row>
    <row r="298" spans="1:5" x14ac:dyDescent="0.25">
      <c r="B298" s="30">
        <v>5</v>
      </c>
      <c r="C298" s="30" t="s">
        <v>40</v>
      </c>
      <c r="D298" s="30" t="s">
        <v>41</v>
      </c>
      <c r="E298" s="30">
        <v>6</v>
      </c>
    </row>
    <row r="299" spans="1:5" x14ac:dyDescent="0.25">
      <c r="B299" s="30">
        <v>6</v>
      </c>
      <c r="C299" s="30" t="s">
        <v>153</v>
      </c>
      <c r="D299" s="30" t="s">
        <v>154</v>
      </c>
      <c r="E299" s="30">
        <v>1</v>
      </c>
    </row>
    <row r="300" spans="1:5" x14ac:dyDescent="0.25">
      <c r="B300" s="30">
        <v>7</v>
      </c>
      <c r="C300" s="30" t="s">
        <v>49</v>
      </c>
      <c r="D300" s="30" t="s">
        <v>50</v>
      </c>
      <c r="E300" s="30">
        <v>1</v>
      </c>
    </row>
    <row r="301" spans="1:5" x14ac:dyDescent="0.25">
      <c r="B301" s="30">
        <v>8</v>
      </c>
      <c r="C301" s="30" t="s">
        <v>156</v>
      </c>
      <c r="D301" s="30" t="s">
        <v>157</v>
      </c>
      <c r="E301" s="30">
        <v>2</v>
      </c>
    </row>
    <row r="302" spans="1:5" x14ac:dyDescent="0.25">
      <c r="B302" s="30">
        <v>9</v>
      </c>
      <c r="C302" s="30" t="s">
        <v>54</v>
      </c>
      <c r="D302" s="30" t="s">
        <v>55</v>
      </c>
      <c r="E302" s="30">
        <v>1</v>
      </c>
    </row>
    <row r="303" spans="1:5" x14ac:dyDescent="0.25">
      <c r="B303" s="30">
        <v>10</v>
      </c>
      <c r="C303" s="30" t="s">
        <v>56</v>
      </c>
      <c r="D303" s="30" t="s">
        <v>57</v>
      </c>
      <c r="E303" s="30" t="s">
        <v>58</v>
      </c>
    </row>
    <row r="304" spans="1:5" x14ac:dyDescent="0.25">
      <c r="B304" s="30"/>
      <c r="C304" s="30"/>
      <c r="D304" s="30"/>
      <c r="E304" s="30"/>
    </row>
    <row r="305" spans="2:5" x14ac:dyDescent="0.25">
      <c r="B305" s="30"/>
      <c r="C305" s="30"/>
      <c r="D305" s="30"/>
      <c r="E305" s="30"/>
    </row>
    <row r="306" spans="2:5" x14ac:dyDescent="0.25">
      <c r="B306" s="30"/>
      <c r="C306" s="30"/>
      <c r="D306" s="30"/>
      <c r="E306" s="30"/>
    </row>
    <row r="307" spans="2:5" x14ac:dyDescent="0.25">
      <c r="B307" s="30"/>
      <c r="C307" s="30"/>
      <c r="D307" s="30"/>
      <c r="E307" s="30"/>
    </row>
    <row r="308" spans="2:5" x14ac:dyDescent="0.25">
      <c r="B308" s="25"/>
      <c r="C308" s="25"/>
      <c r="D308" s="25"/>
      <c r="E308" s="25"/>
    </row>
    <row r="309" spans="2:5" x14ac:dyDescent="0.25">
      <c r="B309" s="25"/>
      <c r="C309" s="25"/>
      <c r="D309" s="25"/>
      <c r="E309" s="25"/>
    </row>
  </sheetData>
  <hyperlinks>
    <hyperlink ref="D2" r:id="rId1" xr:uid="{E924A735-6280-40D0-9050-B31FA3F41F3D}"/>
    <hyperlink ref="D19" r:id="rId2" xr:uid="{7EA5D7F5-FCB7-4CEA-9E01-B4B6D39E9C63}"/>
    <hyperlink ref="D36" r:id="rId3" xr:uid="{18965BD3-49B2-4909-A06E-01CC0434360E}"/>
    <hyperlink ref="D53" r:id="rId4" xr:uid="{868468C9-BD51-44CA-A0F7-BC6616E0AF19}"/>
    <hyperlink ref="D70" r:id="rId5" xr:uid="{43A6BFFE-EFC5-416E-AB20-E2C65F331B67}"/>
    <hyperlink ref="D87" r:id="rId6" xr:uid="{04DC8C0D-795A-4666-8207-921C2DABEFFF}"/>
    <hyperlink ref="D104" r:id="rId7" xr:uid="{FCA9DD6F-397D-4C43-A9A8-5CC8BD3CFA3E}"/>
    <hyperlink ref="D121" r:id="rId8" xr:uid="{21AFD361-DB2A-463C-A5A9-5B61F5EA169C}"/>
    <hyperlink ref="D138" r:id="rId9" xr:uid="{F20DF3A6-D2CD-456B-99F4-3863F3D3DF98}"/>
    <hyperlink ref="D155" r:id="rId10" xr:uid="{335809B6-C8AD-4555-A398-57087C2A16DF}"/>
    <hyperlink ref="D172" r:id="rId11" xr:uid="{65414CC4-779E-48A5-B644-DEB346E168D5}"/>
    <hyperlink ref="D189" r:id="rId12" xr:uid="{F3F6498B-5E96-462C-9685-934255DDDA5E}"/>
    <hyperlink ref="D206" r:id="rId13" xr:uid="{D4FCBE67-00D5-4524-AC83-E391A8CA1FC0}"/>
    <hyperlink ref="D223" r:id="rId14" xr:uid="{855A2803-98F4-4958-9F41-6F2FFFB359BE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DD7E1-EF47-414B-9F31-3B29DF3600C3}">
  <sheetPr codeName="Sheet2"/>
  <dimension ref="A1:U49"/>
  <sheetViews>
    <sheetView topLeftCell="C17" workbookViewId="0">
      <selection activeCell="U21" sqref="U21"/>
    </sheetView>
  </sheetViews>
  <sheetFormatPr defaultColWidth="8.85546875" defaultRowHeight="15" x14ac:dyDescent="0.25"/>
  <cols>
    <col min="2" max="2" width="34.42578125" bestFit="1" customWidth="1"/>
    <col min="3" max="3" width="11.42578125" bestFit="1" customWidth="1"/>
    <col min="4" max="4" width="13.140625" customWidth="1"/>
    <col min="8" max="8" width="14.7109375" style="99" customWidth="1"/>
    <col min="9" max="9" width="24.5703125" style="100" bestFit="1" customWidth="1"/>
    <col min="11" max="11" width="21" style="101" customWidth="1"/>
    <col min="12" max="12" width="17" style="101" bestFit="1" customWidth="1"/>
    <col min="13" max="13" width="49.42578125" style="101" bestFit="1" customWidth="1"/>
    <col min="14" max="14" width="11.85546875" style="101" customWidth="1"/>
  </cols>
  <sheetData>
    <row r="1" spans="2:19" ht="15.75" thickBot="1" x14ac:dyDescent="0.3">
      <c r="H1" s="97" t="s">
        <v>219</v>
      </c>
      <c r="I1" s="98" t="s">
        <v>30</v>
      </c>
      <c r="K1" s="97" t="s">
        <v>219</v>
      </c>
      <c r="L1" s="97" t="s">
        <v>220</v>
      </c>
      <c r="M1" s="97" t="s">
        <v>30</v>
      </c>
      <c r="N1" s="97" t="s">
        <v>31</v>
      </c>
    </row>
    <row r="2" spans="2:19" ht="15.75" thickBot="1" x14ac:dyDescent="0.3">
      <c r="I2" s="100" t="s">
        <v>221</v>
      </c>
      <c r="K2" s="101" t="s">
        <v>222</v>
      </c>
      <c r="L2" s="101" t="s">
        <v>223</v>
      </c>
      <c r="M2" s="102" t="s">
        <v>224</v>
      </c>
      <c r="N2" s="101">
        <v>1</v>
      </c>
      <c r="P2" t="s">
        <v>342</v>
      </c>
      <c r="R2" t="s">
        <v>346</v>
      </c>
      <c r="S2" t="s">
        <v>343</v>
      </c>
    </row>
    <row r="3" spans="2:19" ht="15.75" thickBot="1" x14ac:dyDescent="0.3">
      <c r="B3" s="8" t="s">
        <v>37</v>
      </c>
      <c r="C3" s="9"/>
      <c r="H3" s="99" t="s">
        <v>225</v>
      </c>
      <c r="I3" s="100" t="s">
        <v>226</v>
      </c>
      <c r="K3" s="101" t="s">
        <v>227</v>
      </c>
      <c r="L3" s="101" t="s">
        <v>228</v>
      </c>
      <c r="M3" s="102" t="s">
        <v>229</v>
      </c>
      <c r="N3" s="101">
        <v>1</v>
      </c>
      <c r="P3" t="s">
        <v>322</v>
      </c>
      <c r="R3" t="s">
        <v>347</v>
      </c>
      <c r="S3" t="s">
        <v>319</v>
      </c>
    </row>
    <row r="4" spans="2:19" ht="15.75" thickBot="1" x14ac:dyDescent="0.3">
      <c r="B4" s="6" t="s">
        <v>42</v>
      </c>
      <c r="C4" s="7" t="s">
        <v>230</v>
      </c>
      <c r="H4" s="99" t="s">
        <v>231</v>
      </c>
      <c r="I4" s="100" t="s">
        <v>232</v>
      </c>
      <c r="K4" s="103" t="s">
        <v>233</v>
      </c>
      <c r="L4" s="101" t="s">
        <v>234</v>
      </c>
      <c r="M4" s="101" t="s">
        <v>235</v>
      </c>
      <c r="N4" s="101">
        <v>1</v>
      </c>
      <c r="P4" t="s">
        <v>323</v>
      </c>
      <c r="S4" t="s">
        <v>422</v>
      </c>
    </row>
    <row r="5" spans="2:19" x14ac:dyDescent="0.25">
      <c r="B5" s="13" t="s">
        <v>214</v>
      </c>
      <c r="C5" s="14">
        <v>0.25</v>
      </c>
      <c r="H5" s="99" t="s">
        <v>236</v>
      </c>
      <c r="I5" s="100" t="s">
        <v>237</v>
      </c>
      <c r="K5" s="103" t="s">
        <v>233</v>
      </c>
      <c r="L5" s="101" t="s">
        <v>238</v>
      </c>
      <c r="M5" s="101" t="s">
        <v>239</v>
      </c>
      <c r="N5" s="101">
        <v>1</v>
      </c>
      <c r="P5" t="s">
        <v>324</v>
      </c>
    </row>
    <row r="6" spans="2:19" x14ac:dyDescent="0.25">
      <c r="B6" s="15" t="s">
        <v>13</v>
      </c>
      <c r="C6" s="16">
        <v>0.375</v>
      </c>
      <c r="H6" s="99" t="s">
        <v>354</v>
      </c>
      <c r="I6" s="100" t="s">
        <v>355</v>
      </c>
      <c r="K6" s="103" t="s">
        <v>242</v>
      </c>
      <c r="L6" s="101" t="s">
        <v>243</v>
      </c>
      <c r="M6" s="101" t="s">
        <v>244</v>
      </c>
      <c r="N6" s="101">
        <v>1</v>
      </c>
      <c r="P6" t="s">
        <v>325</v>
      </c>
    </row>
    <row r="7" spans="2:19" x14ac:dyDescent="0.25">
      <c r="B7" s="15" t="s">
        <v>215</v>
      </c>
      <c r="C7" s="17">
        <v>0.5</v>
      </c>
      <c r="H7" s="99" t="s">
        <v>240</v>
      </c>
      <c r="I7" s="100" t="s">
        <v>241</v>
      </c>
      <c r="K7" s="103" t="s">
        <v>242</v>
      </c>
      <c r="L7" s="101" t="s">
        <v>247</v>
      </c>
      <c r="M7" s="101" t="s">
        <v>248</v>
      </c>
      <c r="N7" s="101">
        <v>1</v>
      </c>
      <c r="P7" t="s">
        <v>326</v>
      </c>
    </row>
    <row r="8" spans="2:19" x14ac:dyDescent="0.25">
      <c r="B8" s="15" t="s">
        <v>158</v>
      </c>
      <c r="C8" s="17">
        <v>0.75</v>
      </c>
      <c r="H8" s="99" t="s">
        <v>245</v>
      </c>
      <c r="I8" s="100" t="s">
        <v>246</v>
      </c>
      <c r="K8" s="103" t="s">
        <v>251</v>
      </c>
      <c r="L8" s="101" t="s">
        <v>252</v>
      </c>
      <c r="M8" s="101" t="s">
        <v>253</v>
      </c>
      <c r="N8" s="101">
        <v>1</v>
      </c>
      <c r="P8" t="s">
        <v>327</v>
      </c>
    </row>
    <row r="9" spans="2:19" x14ac:dyDescent="0.25">
      <c r="B9" s="15"/>
      <c r="C9" s="17">
        <v>1</v>
      </c>
      <c r="H9" s="99" t="s">
        <v>249</v>
      </c>
      <c r="I9" s="100" t="s">
        <v>250</v>
      </c>
      <c r="K9" s="103" t="s">
        <v>251</v>
      </c>
      <c r="L9" s="101" t="s">
        <v>256</v>
      </c>
      <c r="M9" s="101" t="s">
        <v>257</v>
      </c>
      <c r="N9" s="101">
        <v>1</v>
      </c>
      <c r="P9" t="s">
        <v>328</v>
      </c>
    </row>
    <row r="10" spans="2:19" x14ac:dyDescent="0.25">
      <c r="B10" s="15"/>
      <c r="C10" s="17">
        <v>1.5</v>
      </c>
      <c r="H10" s="99" t="s">
        <v>254</v>
      </c>
      <c r="I10" s="100" t="s">
        <v>255</v>
      </c>
      <c r="K10" s="103" t="s">
        <v>260</v>
      </c>
      <c r="L10" s="101" t="s">
        <v>261</v>
      </c>
      <c r="M10" s="101" t="s">
        <v>262</v>
      </c>
      <c r="N10" s="101">
        <v>1</v>
      </c>
      <c r="P10" t="s">
        <v>329</v>
      </c>
    </row>
    <row r="11" spans="2:19" ht="15.75" thickBot="1" x14ac:dyDescent="0.3">
      <c r="B11" s="18"/>
      <c r="C11" s="19">
        <v>2</v>
      </c>
      <c r="H11" s="99" t="s">
        <v>258</v>
      </c>
      <c r="I11" s="100" t="s">
        <v>259</v>
      </c>
      <c r="K11" s="103" t="s">
        <v>260</v>
      </c>
      <c r="L11" s="101" t="s">
        <v>265</v>
      </c>
      <c r="M11" s="101" t="s">
        <v>266</v>
      </c>
      <c r="N11" s="101">
        <v>1</v>
      </c>
      <c r="P11" t="s">
        <v>330</v>
      </c>
    </row>
    <row r="12" spans="2:19" x14ac:dyDescent="0.25">
      <c r="H12" s="99" t="s">
        <v>263</v>
      </c>
      <c r="I12" s="100" t="s">
        <v>264</v>
      </c>
      <c r="K12" s="103" t="s">
        <v>269</v>
      </c>
      <c r="L12" s="101" t="s">
        <v>270</v>
      </c>
      <c r="M12" s="101" t="s">
        <v>271</v>
      </c>
      <c r="N12" s="101">
        <v>1</v>
      </c>
      <c r="P12" t="s">
        <v>331</v>
      </c>
    </row>
    <row r="13" spans="2:19" x14ac:dyDescent="0.25">
      <c r="H13" s="99" t="s">
        <v>267</v>
      </c>
      <c r="I13" s="100" t="s">
        <v>268</v>
      </c>
      <c r="K13" s="103" t="s">
        <v>269</v>
      </c>
      <c r="L13" s="101" t="s">
        <v>272</v>
      </c>
      <c r="M13" s="101" t="s">
        <v>273</v>
      </c>
      <c r="N13" s="101">
        <v>1</v>
      </c>
      <c r="P13" t="s">
        <v>332</v>
      </c>
    </row>
    <row r="14" spans="2:19" ht="15.75" thickBot="1" x14ac:dyDescent="0.3">
      <c r="K14" s="103" t="s">
        <v>274</v>
      </c>
      <c r="L14" s="101" t="s">
        <v>275</v>
      </c>
      <c r="M14" s="101" t="s">
        <v>276</v>
      </c>
      <c r="N14" s="101">
        <v>1</v>
      </c>
      <c r="P14" t="s">
        <v>333</v>
      </c>
    </row>
    <row r="15" spans="2:19" ht="15.75" thickBot="1" x14ac:dyDescent="0.3">
      <c r="B15" s="176" t="s">
        <v>277</v>
      </c>
      <c r="C15" s="177"/>
      <c r="D15" s="178"/>
      <c r="K15" s="103" t="s">
        <v>278</v>
      </c>
      <c r="L15" s="101" t="s">
        <v>279</v>
      </c>
      <c r="M15" s="101" t="s">
        <v>280</v>
      </c>
      <c r="N15" s="101">
        <v>1</v>
      </c>
      <c r="P15" t="s">
        <v>334</v>
      </c>
    </row>
    <row r="16" spans="2:19" ht="15.75" thickBot="1" x14ac:dyDescent="0.3">
      <c r="B16" s="6" t="s">
        <v>4</v>
      </c>
      <c r="C16" s="66" t="s">
        <v>5</v>
      </c>
      <c r="D16" s="67" t="s">
        <v>281</v>
      </c>
      <c r="K16" s="103" t="s">
        <v>282</v>
      </c>
      <c r="L16" s="101" t="s">
        <v>283</v>
      </c>
      <c r="M16" s="101" t="s">
        <v>284</v>
      </c>
      <c r="N16" s="101">
        <v>1</v>
      </c>
      <c r="P16" t="s">
        <v>335</v>
      </c>
    </row>
    <row r="17" spans="1:21" x14ac:dyDescent="0.25">
      <c r="B17" s="52" t="s">
        <v>285</v>
      </c>
      <c r="C17" s="64" t="s">
        <v>214</v>
      </c>
      <c r="D17" s="65" t="s">
        <v>216</v>
      </c>
      <c r="K17" s="103" t="s">
        <v>286</v>
      </c>
      <c r="L17" s="101" t="s">
        <v>287</v>
      </c>
      <c r="M17" s="101" t="s">
        <v>288</v>
      </c>
      <c r="N17" s="101">
        <v>1</v>
      </c>
      <c r="P17" t="s">
        <v>336</v>
      </c>
    </row>
    <row r="18" spans="1:21" x14ac:dyDescent="0.25">
      <c r="B18" s="53" t="s">
        <v>289</v>
      </c>
      <c r="C18" s="57" t="s">
        <v>215</v>
      </c>
      <c r="D18" s="59" t="s">
        <v>218</v>
      </c>
      <c r="K18" s="103" t="s">
        <v>290</v>
      </c>
      <c r="L18" s="101" t="s">
        <v>291</v>
      </c>
      <c r="M18" s="101" t="s">
        <v>292</v>
      </c>
      <c r="N18" s="101">
        <v>1</v>
      </c>
      <c r="P18" t="s">
        <v>337</v>
      </c>
    </row>
    <row r="19" spans="1:21" x14ac:dyDescent="0.25">
      <c r="B19" s="53" t="s">
        <v>293</v>
      </c>
      <c r="C19" s="58"/>
      <c r="D19" s="60"/>
      <c r="K19" s="103" t="s">
        <v>294</v>
      </c>
      <c r="L19" s="101" t="s">
        <v>295</v>
      </c>
      <c r="M19" s="103" t="s">
        <v>296</v>
      </c>
      <c r="N19" s="101">
        <v>1</v>
      </c>
      <c r="P19" t="s">
        <v>338</v>
      </c>
    </row>
    <row r="20" spans="1:21" x14ac:dyDescent="0.25">
      <c r="B20" s="53" t="s">
        <v>297</v>
      </c>
      <c r="C20" s="58"/>
      <c r="D20" s="60"/>
      <c r="K20" s="103" t="s">
        <v>294</v>
      </c>
      <c r="L20" s="101" t="s">
        <v>400</v>
      </c>
      <c r="M20" s="103" t="s">
        <v>413</v>
      </c>
      <c r="N20" s="101">
        <v>1</v>
      </c>
      <c r="P20" t="s">
        <v>339</v>
      </c>
    </row>
    <row r="21" spans="1:21" ht="15.75" thickBot="1" x14ac:dyDescent="0.3">
      <c r="B21" s="61" t="s">
        <v>298</v>
      </c>
      <c r="C21" s="62"/>
      <c r="D21" s="63"/>
      <c r="K21" s="103" t="s">
        <v>299</v>
      </c>
      <c r="L21" s="101" t="s">
        <v>300</v>
      </c>
      <c r="M21" s="101" t="s">
        <v>301</v>
      </c>
      <c r="N21" s="101">
        <v>1</v>
      </c>
      <c r="P21" t="s">
        <v>340</v>
      </c>
    </row>
    <row r="22" spans="1:21" x14ac:dyDescent="0.25">
      <c r="B22" s="10"/>
      <c r="C22" s="11"/>
      <c r="K22" s="103" t="s">
        <v>299</v>
      </c>
      <c r="L22" s="101" t="s">
        <v>399</v>
      </c>
      <c r="M22" s="103" t="s">
        <v>414</v>
      </c>
      <c r="N22" s="101">
        <v>1</v>
      </c>
      <c r="P22" t="s">
        <v>341</v>
      </c>
    </row>
    <row r="23" spans="1:21" x14ac:dyDescent="0.25">
      <c r="B23" s="10"/>
      <c r="C23" s="11"/>
      <c r="K23" s="103" t="s">
        <v>302</v>
      </c>
      <c r="L23" s="101" t="s">
        <v>303</v>
      </c>
      <c r="M23" s="103" t="s">
        <v>304</v>
      </c>
      <c r="N23" s="101">
        <v>1</v>
      </c>
      <c r="P23">
        <v>16018</v>
      </c>
    </row>
    <row r="24" spans="1:21" x14ac:dyDescent="0.25">
      <c r="A24" t="s">
        <v>118</v>
      </c>
      <c r="K24" s="103" t="s">
        <v>302</v>
      </c>
      <c r="L24" s="101" t="s">
        <v>401</v>
      </c>
      <c r="M24" s="103" t="s">
        <v>415</v>
      </c>
      <c r="N24" s="101">
        <v>1</v>
      </c>
    </row>
    <row r="25" spans="1:21" x14ac:dyDescent="0.25">
      <c r="A25">
        <f>IF(AND(B25=Sheet1!Y$5),1,0)</f>
        <v>0</v>
      </c>
      <c r="B25" s="82" t="s">
        <v>119</v>
      </c>
      <c r="K25" s="103" t="s">
        <v>305</v>
      </c>
      <c r="L25" s="101" t="s">
        <v>306</v>
      </c>
      <c r="M25" s="103" t="s">
        <v>307</v>
      </c>
      <c r="N25" s="101">
        <v>1</v>
      </c>
    </row>
    <row r="26" spans="1:21" x14ac:dyDescent="0.25">
      <c r="B26" s="70" t="s">
        <v>308</v>
      </c>
      <c r="C26" s="95">
        <f>17+0.52*(Sheet1!Y7/12)</f>
        <v>21.333333333333336</v>
      </c>
      <c r="D26" t="s">
        <v>403</v>
      </c>
      <c r="K26" s="103" t="s">
        <v>305</v>
      </c>
      <c r="L26" s="101" t="s">
        <v>398</v>
      </c>
      <c r="M26" s="103" t="s">
        <v>416</v>
      </c>
      <c r="N26" s="101">
        <v>1</v>
      </c>
    </row>
    <row r="27" spans="1:21" x14ac:dyDescent="0.25">
      <c r="B27" s="70" t="s">
        <v>66</v>
      </c>
      <c r="C27" s="70">
        <f>7.5+0.09*(Sheet1!Y7/12)</f>
        <v>8.25</v>
      </c>
      <c r="D27" s="70" t="s">
        <v>404</v>
      </c>
      <c r="K27" s="103" t="s">
        <v>366</v>
      </c>
      <c r="M27" s="131" t="s">
        <v>356</v>
      </c>
      <c r="N27" s="131">
        <v>1</v>
      </c>
    </row>
    <row r="28" spans="1:21" x14ac:dyDescent="0.25">
      <c r="B28" s="70" t="s">
        <v>67</v>
      </c>
      <c r="C28" s="95">
        <f>10+0.083*(Sheet1!Y7/12)</f>
        <v>10.691666666666666</v>
      </c>
      <c r="D28" s="70" t="s">
        <v>405</v>
      </c>
      <c r="K28" s="103" t="s">
        <v>366</v>
      </c>
      <c r="M28" s="131" t="s">
        <v>357</v>
      </c>
      <c r="N28" s="131">
        <v>1</v>
      </c>
    </row>
    <row r="29" spans="1:21" x14ac:dyDescent="0.25">
      <c r="B29" s="70" t="s">
        <v>68</v>
      </c>
      <c r="C29" s="70">
        <v>10</v>
      </c>
      <c r="D29" t="s">
        <v>407</v>
      </c>
      <c r="K29" s="103" t="s">
        <v>367</v>
      </c>
      <c r="M29" s="131" t="s">
        <v>358</v>
      </c>
      <c r="N29" s="131">
        <v>1</v>
      </c>
      <c r="T29" t="s">
        <v>425</v>
      </c>
      <c r="U29" t="s">
        <v>426</v>
      </c>
    </row>
    <row r="30" spans="1:21" x14ac:dyDescent="0.25">
      <c r="B30" s="70"/>
      <c r="C30" s="70"/>
      <c r="K30" s="103" t="s">
        <v>367</v>
      </c>
      <c r="M30" s="131" t="s">
        <v>359</v>
      </c>
      <c r="N30" s="131">
        <v>1</v>
      </c>
      <c r="S30">
        <v>16000</v>
      </c>
      <c r="T30">
        <v>19.690000000000001</v>
      </c>
      <c r="U30" s="155">
        <f>T30+(T30*0.04)</f>
        <v>20.477600000000002</v>
      </c>
    </row>
    <row r="31" spans="1:21" x14ac:dyDescent="0.25">
      <c r="A31">
        <f>IF(AND(B31=Sheet1!Y$5),1,0)</f>
        <v>0</v>
      </c>
      <c r="B31" s="82" t="s">
        <v>131</v>
      </c>
      <c r="K31" s="103" t="s">
        <v>368</v>
      </c>
      <c r="M31" s="131" t="s">
        <v>360</v>
      </c>
      <c r="N31" s="131">
        <v>1</v>
      </c>
      <c r="S31">
        <v>16001</v>
      </c>
      <c r="T31">
        <v>39.369999999999997</v>
      </c>
      <c r="U31" s="155">
        <f t="shared" ref="U31:U47" si="0">T31+(T31*0.04)</f>
        <v>40.944800000000001</v>
      </c>
    </row>
    <row r="32" spans="1:21" x14ac:dyDescent="0.25">
      <c r="B32" s="70" t="s">
        <v>309</v>
      </c>
      <c r="C32" s="95">
        <f>25+0.17*(Sheet1!Y7/12)</f>
        <v>26.416666666666668</v>
      </c>
      <c r="D32" s="70" t="s">
        <v>402</v>
      </c>
      <c r="K32" s="103" t="s">
        <v>368</v>
      </c>
      <c r="M32" s="131" t="s">
        <v>361</v>
      </c>
      <c r="N32" s="131">
        <v>1</v>
      </c>
      <c r="S32">
        <v>16002</v>
      </c>
      <c r="T32">
        <v>59.06</v>
      </c>
      <c r="U32" s="155">
        <f t="shared" si="0"/>
        <v>61.422400000000003</v>
      </c>
    </row>
    <row r="33" spans="1:21" x14ac:dyDescent="0.25">
      <c r="B33" s="70" t="s">
        <v>308</v>
      </c>
      <c r="C33" s="95">
        <f>15+0.44*(Sheet1!Y7/12)</f>
        <v>18.666666666666668</v>
      </c>
      <c r="D33" s="70" t="s">
        <v>403</v>
      </c>
      <c r="K33" s="103" t="s">
        <v>369</v>
      </c>
      <c r="M33" s="131" t="s">
        <v>362</v>
      </c>
      <c r="N33" s="131">
        <v>1</v>
      </c>
      <c r="S33">
        <v>16003</v>
      </c>
      <c r="T33">
        <v>78.739999999999995</v>
      </c>
      <c r="U33" s="155">
        <f t="shared" si="0"/>
        <v>81.889600000000002</v>
      </c>
    </row>
    <row r="34" spans="1:21" x14ac:dyDescent="0.25">
      <c r="B34" s="70" t="s">
        <v>66</v>
      </c>
      <c r="C34" s="95">
        <f>7.5+0.09*(Sheet1!Y7/12)</f>
        <v>8.25</v>
      </c>
      <c r="D34" s="70" t="s">
        <v>404</v>
      </c>
      <c r="K34" s="103" t="s">
        <v>369</v>
      </c>
      <c r="M34" s="131" t="s">
        <v>363</v>
      </c>
      <c r="N34" s="131">
        <v>1</v>
      </c>
      <c r="S34">
        <v>16004</v>
      </c>
      <c r="T34">
        <v>118.11</v>
      </c>
      <c r="U34" s="155">
        <f t="shared" si="0"/>
        <v>122.8344</v>
      </c>
    </row>
    <row r="35" spans="1:21" x14ac:dyDescent="0.25">
      <c r="B35" s="70" t="s">
        <v>67</v>
      </c>
      <c r="C35" s="95">
        <f>10+0.083*(Sheet1!Y7/12)</f>
        <v>10.691666666666666</v>
      </c>
      <c r="D35" s="70" t="s">
        <v>405</v>
      </c>
      <c r="K35" s="103" t="s">
        <v>370</v>
      </c>
      <c r="M35" s="131" t="s">
        <v>364</v>
      </c>
      <c r="N35" s="131">
        <v>1</v>
      </c>
      <c r="S35">
        <v>16005</v>
      </c>
      <c r="T35">
        <v>39.369999999999997</v>
      </c>
      <c r="U35" s="155">
        <f t="shared" si="0"/>
        <v>40.944800000000001</v>
      </c>
    </row>
    <row r="36" spans="1:21" x14ac:dyDescent="0.25">
      <c r="B36" s="70" t="s">
        <v>68</v>
      </c>
      <c r="C36" s="70">
        <v>10</v>
      </c>
      <c r="D36" t="s">
        <v>407</v>
      </c>
      <c r="K36" s="103" t="s">
        <v>370</v>
      </c>
      <c r="M36" s="131" t="s">
        <v>365</v>
      </c>
      <c r="N36" s="131">
        <v>1</v>
      </c>
      <c r="S36">
        <v>16006</v>
      </c>
      <c r="T36">
        <v>59.06</v>
      </c>
      <c r="U36" s="155">
        <f t="shared" si="0"/>
        <v>61.422400000000003</v>
      </c>
    </row>
    <row r="37" spans="1:21" x14ac:dyDescent="0.25">
      <c r="B37" s="81"/>
      <c r="S37">
        <v>16007</v>
      </c>
      <c r="T37">
        <v>78.739999999999995</v>
      </c>
      <c r="U37" s="155">
        <f t="shared" si="0"/>
        <v>81.889600000000002</v>
      </c>
    </row>
    <row r="38" spans="1:21" x14ac:dyDescent="0.25">
      <c r="A38">
        <f>IF(AND(B38=Sheet1!Y$5),1,0)</f>
        <v>0</v>
      </c>
      <c r="B38" s="82" t="s">
        <v>13</v>
      </c>
      <c r="S38">
        <v>16008</v>
      </c>
      <c r="T38">
        <v>118.11</v>
      </c>
      <c r="U38" s="155">
        <f t="shared" si="0"/>
        <v>122.8344</v>
      </c>
    </row>
    <row r="39" spans="1:21" x14ac:dyDescent="0.25">
      <c r="B39" s="70" t="s">
        <v>64</v>
      </c>
      <c r="C39" s="95">
        <f>22+1.52*(Sheet1!Y7/12)</f>
        <v>34.666666666666671</v>
      </c>
      <c r="D39" s="70" t="s">
        <v>406</v>
      </c>
      <c r="S39">
        <v>16009</v>
      </c>
      <c r="T39">
        <v>39.369999999999997</v>
      </c>
      <c r="U39" s="155">
        <f t="shared" si="0"/>
        <v>40.944800000000001</v>
      </c>
    </row>
    <row r="40" spans="1:21" x14ac:dyDescent="0.25">
      <c r="B40" s="70" t="s">
        <v>66</v>
      </c>
      <c r="C40" s="95">
        <f>7.5+0.09*(Sheet1!Y7/12)</f>
        <v>8.25</v>
      </c>
      <c r="D40" s="70" t="s">
        <v>404</v>
      </c>
      <c r="S40">
        <v>16010</v>
      </c>
      <c r="T40">
        <v>59.06</v>
      </c>
      <c r="U40" s="155">
        <f t="shared" si="0"/>
        <v>61.422400000000003</v>
      </c>
    </row>
    <row r="41" spans="1:21" x14ac:dyDescent="0.25">
      <c r="B41" s="70" t="s">
        <v>67</v>
      </c>
      <c r="C41" s="95">
        <f>10+0.083*(Sheet1!Y7/12)</f>
        <v>10.691666666666666</v>
      </c>
      <c r="D41" s="70" t="s">
        <v>405</v>
      </c>
      <c r="S41">
        <v>16011</v>
      </c>
      <c r="T41">
        <v>78.739999999999995</v>
      </c>
      <c r="U41" s="155">
        <f t="shared" si="0"/>
        <v>81.889600000000002</v>
      </c>
    </row>
    <row r="42" spans="1:21" x14ac:dyDescent="0.25">
      <c r="B42" s="70" t="s">
        <v>68</v>
      </c>
      <c r="C42" s="96">
        <v>10</v>
      </c>
      <c r="D42" t="s">
        <v>407</v>
      </c>
      <c r="S42">
        <v>16012</v>
      </c>
      <c r="T42">
        <v>118.11</v>
      </c>
      <c r="U42" s="155">
        <f t="shared" si="0"/>
        <v>122.8344</v>
      </c>
    </row>
    <row r="43" spans="1:21" x14ac:dyDescent="0.25">
      <c r="B43" s="83"/>
      <c r="S43">
        <v>16013</v>
      </c>
      <c r="T43">
        <v>196.85</v>
      </c>
      <c r="U43" s="155">
        <f t="shared" si="0"/>
        <v>204.72399999999999</v>
      </c>
    </row>
    <row r="44" spans="1:21" x14ac:dyDescent="0.25">
      <c r="A44">
        <f>IF(AND(B44=Sheet1!Y$5),1,0)</f>
        <v>1</v>
      </c>
      <c r="B44" s="82" t="s">
        <v>158</v>
      </c>
      <c r="S44">
        <v>16014</v>
      </c>
      <c r="T44">
        <v>59.06</v>
      </c>
      <c r="U44" s="155">
        <f t="shared" si="0"/>
        <v>61.422400000000003</v>
      </c>
    </row>
    <row r="45" spans="1:21" x14ac:dyDescent="0.25">
      <c r="B45" s="70" t="s">
        <v>309</v>
      </c>
      <c r="C45" s="95">
        <f>25+0.17*(Sheet1!Y7/12)</f>
        <v>26.416666666666668</v>
      </c>
      <c r="D45" s="70" t="s">
        <v>402</v>
      </c>
      <c r="S45">
        <v>16015</v>
      </c>
      <c r="T45">
        <v>78.739999999999995</v>
      </c>
      <c r="U45" s="155">
        <f t="shared" si="0"/>
        <v>81.889600000000002</v>
      </c>
    </row>
    <row r="46" spans="1:21" x14ac:dyDescent="0.25">
      <c r="B46" s="70" t="s">
        <v>64</v>
      </c>
      <c r="C46" s="70">
        <f>20+1.44*(Sheet1!Y7/12)</f>
        <v>32</v>
      </c>
      <c r="D46" s="70" t="s">
        <v>406</v>
      </c>
      <c r="S46">
        <v>16016</v>
      </c>
      <c r="T46">
        <v>118.11</v>
      </c>
      <c r="U46" s="155">
        <f t="shared" si="0"/>
        <v>122.8344</v>
      </c>
    </row>
    <row r="47" spans="1:21" x14ac:dyDescent="0.25">
      <c r="B47" s="70" t="s">
        <v>66</v>
      </c>
      <c r="C47" s="70">
        <f>7.5+0.09*(Sheet1!Y7/12)</f>
        <v>8.25</v>
      </c>
      <c r="D47" s="70" t="s">
        <v>404</v>
      </c>
      <c r="S47">
        <v>16017</v>
      </c>
      <c r="T47">
        <v>196.85</v>
      </c>
      <c r="U47" s="155">
        <f t="shared" si="0"/>
        <v>204.72399999999999</v>
      </c>
    </row>
    <row r="48" spans="1:21" x14ac:dyDescent="0.25">
      <c r="B48" s="70" t="s">
        <v>67</v>
      </c>
      <c r="C48" s="95">
        <f>10+0.083*(Sheet1!Y7/12)</f>
        <v>10.691666666666666</v>
      </c>
      <c r="D48" s="70" t="s">
        <v>405</v>
      </c>
      <c r="S48">
        <v>16018</v>
      </c>
      <c r="T48">
        <v>72</v>
      </c>
      <c r="U48" s="155">
        <f>T48+(T48*0.08)</f>
        <v>77.760000000000005</v>
      </c>
    </row>
    <row r="49" spans="2:4" x14ac:dyDescent="0.25">
      <c r="B49" s="70" t="s">
        <v>68</v>
      </c>
      <c r="C49" s="70">
        <v>10</v>
      </c>
      <c r="D49" t="s">
        <v>407</v>
      </c>
    </row>
  </sheetData>
  <mergeCells count="1">
    <mergeCell ref="B15:D15"/>
  </mergeCells>
  <pageMargins left="0.7" right="0.7" top="0.75" bottom="0.75" header="0.3" footer="0.3"/>
  <ignoredErrors>
    <ignoredError sqref="B17:B21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Sheet1</vt:lpstr>
      <vt:lpstr>graph data OP</vt:lpstr>
      <vt:lpstr>passfailcurves</vt:lpstr>
      <vt:lpstr>yieldanalysisdata</vt:lpstr>
      <vt:lpstr>graph data</vt:lpstr>
      <vt:lpstr>shipping</vt:lpstr>
      <vt:lpstr>Revision History</vt:lpstr>
      <vt:lpstr>Pricing</vt:lpstr>
      <vt:lpstr>Sheet3</vt:lpstr>
      <vt:lpstr>Sheet2</vt:lpstr>
      <vt:lpstr>Sheet4</vt:lpstr>
      <vt:lpstr>Data Validation</vt:lpstr>
      <vt:lpstr>Sheet1!Print_Area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mstkhan</dc:creator>
  <cp:keywords/>
  <dc:description/>
  <cp:lastModifiedBy>Muhammad Khan</cp:lastModifiedBy>
  <cp:revision/>
  <cp:lastPrinted>2025-01-16T15:21:09Z</cp:lastPrinted>
  <dcterms:created xsi:type="dcterms:W3CDTF">2023-09-12T15:24:00Z</dcterms:created>
  <dcterms:modified xsi:type="dcterms:W3CDTF">2025-06-02T16:15:47Z</dcterms:modified>
  <cp:category/>
  <cp:contentStatus/>
</cp:coreProperties>
</file>